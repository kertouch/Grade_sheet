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Karim\Projet\VBA Macro excel\Outils jury\"/>
    </mc:Choice>
  </mc:AlternateContent>
  <bookViews>
    <workbookView xWindow="0" yWindow="0" windowWidth="13245" windowHeight="5520" firstSheet="1" activeTab="7"/>
  </bookViews>
  <sheets>
    <sheet name="Conceptio&amp;realisation" sheetId="5" r:id="rId1"/>
    <sheet name="DemarchProjet" sheetId="9" r:id="rId2"/>
    <sheet name="Rapport" sheetId="7" r:id="rId3"/>
    <sheet name="Soutenace" sheetId="10" r:id="rId4"/>
    <sheet name="Evaluation final" sheetId="1" r:id="rId5"/>
    <sheet name="Binomes" sheetId="3" r:id="rId6"/>
    <sheet name="Questions" sheetId="6" r:id="rId7"/>
    <sheet name="Notes" sheetId="2" r:id="rId8"/>
  </sheets>
  <definedNames>
    <definedName name="displayID">Binomes!$I$3</definedName>
    <definedName name="Etude_existant__bibliographie___analyse">Questions!$B$10:$B$100</definedName>
    <definedName name="_xlnm.Print_Area" localSheetId="5">Binomes!$A$1:$H$109</definedName>
    <definedName name="_xlnm.Print_Area" localSheetId="4">'Evaluation final'!$A$1:$T$45</definedName>
    <definedName name="_xlnm.Print_Area" localSheetId="7">Notes!$A$1:$J$36</definedName>
    <definedName name="_xlnm.Print_Titles" localSheetId="4">'Evaluation final'!$6:$10</definedName>
    <definedName name="Question">Questions!$B$10:$B$11</definedName>
    <definedName name="QuestionsEvaluation">Questions!$B$10:$B$11</definedName>
    <definedName name="valuevx">42.314159</definedName>
  </definedNames>
  <calcPr calcId="152511"/>
  <fileRecoveryPr repairLoad="1"/>
</workbook>
</file>

<file path=xl/calcChain.xml><?xml version="1.0" encoding="utf-8"?>
<calcChain xmlns="http://schemas.openxmlformats.org/spreadsheetml/2006/main">
  <c r="Q42" i="1" l="1"/>
  <c r="R13" i="1"/>
  <c r="S13" i="1"/>
  <c r="T13" i="1" s="1"/>
  <c r="C17" i="10"/>
  <c r="B17" i="10"/>
  <c r="C15" i="7"/>
  <c r="B15" i="7"/>
  <c r="C16" i="7" s="1"/>
  <c r="C17" i="7" s="1"/>
  <c r="C18" i="9"/>
  <c r="B18" i="9"/>
  <c r="C19" i="9" s="1"/>
  <c r="C20" i="9" s="1"/>
  <c r="C19" i="5"/>
  <c r="B19" i="5"/>
  <c r="A12" i="2"/>
  <c r="A13" i="2"/>
  <c r="A15" i="2"/>
  <c r="A16" i="2"/>
  <c r="A18" i="2"/>
  <c r="A19" i="2"/>
  <c r="A21" i="2"/>
  <c r="A22" i="2"/>
  <c r="A10" i="6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" i="3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" i="1"/>
  <c r="A12" i="1" s="1"/>
  <c r="B12" i="1" s="1"/>
  <c r="R11" i="1"/>
  <c r="S11" i="1" s="1"/>
  <c r="T11" i="1" s="1"/>
  <c r="R14" i="1"/>
  <c r="S14" i="1"/>
  <c r="T14" i="1" s="1"/>
  <c r="R15" i="1"/>
  <c r="S15" i="1"/>
  <c r="T15" i="1" s="1"/>
  <c r="R16" i="1"/>
  <c r="S16" i="1"/>
  <c r="T16" i="1" s="1"/>
  <c r="R17" i="1"/>
  <c r="S17" i="1"/>
  <c r="T17" i="1" s="1"/>
  <c r="R18" i="1"/>
  <c r="S18" i="1"/>
  <c r="T18" i="1" s="1"/>
  <c r="R19" i="1"/>
  <c r="S19" i="1"/>
  <c r="T19" i="1" s="1"/>
  <c r="R20" i="1"/>
  <c r="S20" i="1"/>
  <c r="T20" i="1" s="1"/>
  <c r="R21" i="1"/>
  <c r="S21" i="1"/>
  <c r="T21" i="1" s="1"/>
  <c r="R22" i="1"/>
  <c r="S22" i="1"/>
  <c r="T22" i="1" s="1"/>
  <c r="R23" i="1"/>
  <c r="S23" i="1"/>
  <c r="T23" i="1" s="1"/>
  <c r="R24" i="1"/>
  <c r="S24" i="1"/>
  <c r="T24" i="1" s="1"/>
  <c r="R25" i="1"/>
  <c r="S25" i="1"/>
  <c r="T25" i="1" s="1"/>
  <c r="R26" i="1"/>
  <c r="S26" i="1"/>
  <c r="T26" i="1" s="1"/>
  <c r="R27" i="1"/>
  <c r="S27" i="1"/>
  <c r="T27" i="1" s="1"/>
  <c r="R28" i="1"/>
  <c r="S28" i="1"/>
  <c r="T28" i="1" s="1"/>
  <c r="R29" i="1"/>
  <c r="S29" i="1"/>
  <c r="T29" i="1" s="1"/>
  <c r="R30" i="1"/>
  <c r="S30" i="1"/>
  <c r="T30" i="1" s="1"/>
  <c r="R31" i="1"/>
  <c r="S31" i="1"/>
  <c r="T31" i="1" s="1"/>
  <c r="R32" i="1"/>
  <c r="S32" i="1"/>
  <c r="T32" i="1" s="1"/>
  <c r="R33" i="1"/>
  <c r="S33" i="1"/>
  <c r="T33" i="1" s="1"/>
  <c r="R34" i="1"/>
  <c r="S34" i="1"/>
  <c r="T34" i="1" s="1"/>
  <c r="R35" i="1"/>
  <c r="S35" i="1"/>
  <c r="T35" i="1" s="1"/>
  <c r="R36" i="1"/>
  <c r="S36" i="1"/>
  <c r="T36" i="1" s="1"/>
  <c r="R37" i="1"/>
  <c r="S37" i="1"/>
  <c r="T37" i="1" s="1"/>
  <c r="R38" i="1"/>
  <c r="S38" i="1"/>
  <c r="T38" i="1" s="1"/>
  <c r="R39" i="1"/>
  <c r="S39" i="1"/>
  <c r="T39" i="1" s="1"/>
  <c r="R40" i="1"/>
  <c r="S40" i="1"/>
  <c r="T40" i="1" s="1"/>
  <c r="S41" i="1"/>
  <c r="G42" i="1"/>
  <c r="G43" i="1" s="1"/>
  <c r="H42" i="1"/>
  <c r="I42" i="1"/>
  <c r="I43" i="1" s="1"/>
  <c r="J42" i="1"/>
  <c r="K42" i="1"/>
  <c r="K43" i="1" s="1"/>
  <c r="L42" i="1"/>
  <c r="M42" i="1"/>
  <c r="M43" i="1" s="1"/>
  <c r="N42" i="1"/>
  <c r="O42" i="1"/>
  <c r="O43" i="1" s="1"/>
  <c r="P42" i="1"/>
  <c r="Q43" i="1"/>
  <c r="H43" i="1"/>
  <c r="J43" i="1"/>
  <c r="L43" i="1"/>
  <c r="N43" i="1"/>
  <c r="P43" i="1"/>
  <c r="G44" i="1"/>
  <c r="H44" i="1"/>
  <c r="I44" i="1"/>
  <c r="J44" i="1"/>
  <c r="K44" i="1"/>
  <c r="L44" i="1"/>
  <c r="M44" i="1"/>
  <c r="N44" i="1"/>
  <c r="O44" i="1"/>
  <c r="P44" i="1"/>
  <c r="Q44" i="1"/>
  <c r="C18" i="10" l="1"/>
  <c r="C19" i="10" s="1"/>
  <c r="D12" i="1"/>
  <c r="C12" i="1"/>
  <c r="A13" i="1"/>
  <c r="F12" i="1"/>
  <c r="E12" i="1"/>
  <c r="C20" i="5"/>
  <c r="A14" i="1"/>
  <c r="A15" i="1" s="1"/>
  <c r="B15" i="1" s="1"/>
  <c r="C21" i="5" l="1"/>
  <c r="C42" i="1" s="1"/>
  <c r="B14" i="1"/>
  <c r="E42" i="1"/>
  <c r="D42" i="1"/>
  <c r="D43" i="1" s="1"/>
  <c r="A16" i="1"/>
  <c r="C44" i="1" l="1"/>
  <c r="C43" i="1"/>
  <c r="D44" i="1"/>
  <c r="E44" i="1"/>
  <c r="E43" i="1"/>
  <c r="F42" i="1"/>
  <c r="R12" i="1"/>
  <c r="S12" i="1" s="1"/>
  <c r="A17" i="1"/>
  <c r="B16" i="1"/>
  <c r="F43" i="1" l="1"/>
  <c r="F44" i="1"/>
  <c r="S42" i="1"/>
  <c r="C22" i="2"/>
  <c r="C18" i="2"/>
  <c r="C15" i="2"/>
  <c r="C10" i="2"/>
  <c r="C17" i="2"/>
  <c r="B36" i="2"/>
  <c r="B33" i="2"/>
  <c r="C14" i="2"/>
  <c r="T12" i="1"/>
  <c r="C12" i="2"/>
  <c r="S44" i="1"/>
  <c r="B28" i="2" s="1"/>
  <c r="B34" i="2"/>
  <c r="C11" i="2"/>
  <c r="C16" i="2"/>
  <c r="C20" i="2"/>
  <c r="C13" i="2"/>
  <c r="C21" i="2"/>
  <c r="B35" i="2"/>
  <c r="C19" i="2"/>
  <c r="A18" i="1"/>
  <c r="B17" i="1"/>
  <c r="C23" i="2" l="1"/>
  <c r="D12" i="2" s="1"/>
  <c r="T42" i="1"/>
  <c r="A26" i="2"/>
  <c r="B26" i="2" s="1"/>
  <c r="A19" i="1"/>
  <c r="B18" i="1"/>
  <c r="D13" i="2" l="1"/>
  <c r="D10" i="2"/>
  <c r="D20" i="2"/>
  <c r="D15" i="2"/>
  <c r="D17" i="2"/>
  <c r="D22" i="2"/>
  <c r="D14" i="2"/>
  <c r="D11" i="2"/>
  <c r="D19" i="2"/>
  <c r="D21" i="2"/>
  <c r="D16" i="2"/>
  <c r="D18" i="2"/>
  <c r="A20" i="1"/>
  <c r="B19" i="1"/>
  <c r="A21" i="1" l="1"/>
  <c r="B20" i="1"/>
  <c r="A22" i="1" l="1"/>
  <c r="B21" i="1"/>
  <c r="A23" i="1" l="1"/>
  <c r="B22" i="1"/>
  <c r="A24" i="1" l="1"/>
  <c r="B23" i="1"/>
  <c r="A25" i="1" l="1"/>
  <c r="B24" i="1"/>
  <c r="A26" i="1" l="1"/>
  <c r="B25" i="1"/>
  <c r="A27" i="1" l="1"/>
  <c r="B26" i="1"/>
  <c r="A28" i="1" l="1"/>
  <c r="B27" i="1"/>
  <c r="A29" i="1" l="1"/>
  <c r="B28" i="1"/>
  <c r="A30" i="1" l="1"/>
  <c r="B29" i="1"/>
  <c r="A31" i="1" l="1"/>
  <c r="B30" i="1"/>
  <c r="A32" i="1" l="1"/>
  <c r="B31" i="1"/>
  <c r="A33" i="1" l="1"/>
  <c r="B32" i="1"/>
  <c r="A34" i="1" l="1"/>
  <c r="B33" i="1"/>
  <c r="A35" i="1" l="1"/>
  <c r="B34" i="1"/>
  <c r="A36" i="1" l="1"/>
  <c r="A37" i="1" s="1"/>
  <c r="B35" i="1"/>
  <c r="B37" i="1" l="1"/>
  <c r="A38" i="1"/>
  <c r="B38" i="1" l="1"/>
  <c r="A39" i="1"/>
  <c r="B39" i="1" l="1"/>
  <c r="A40" i="1"/>
  <c r="B40" i="1" s="1"/>
</calcChain>
</file>

<file path=xl/comments1.xml><?xml version="1.0" encoding="utf-8"?>
<comments xmlns="http://schemas.openxmlformats.org/spreadsheetml/2006/main">
  <authors>
    <author>karimNasri</author>
  </authors>
  <commentList>
    <comment ref="C8" authorId="0" shapeId="0">
      <text>
        <r>
          <rPr>
            <b/>
            <sz val="9"/>
            <color indexed="81"/>
            <rFont val="Tahoma"/>
            <family val="2"/>
          </rPr>
          <t>karimNasri:</t>
        </r>
        <r>
          <rPr>
            <sz val="9"/>
            <color indexed="81"/>
            <rFont val="Tahoma"/>
            <family val="2"/>
          </rPr>
          <t xml:space="preserve">
Vous pouvez modifier les poids des critères </t>
        </r>
      </text>
    </comment>
    <comment ref="S8" authorId="0" shapeId="0">
      <text>
        <r>
          <rPr>
            <b/>
            <sz val="9"/>
            <color indexed="81"/>
            <rFont val="Tahoma"/>
            <family val="2"/>
          </rPr>
          <t>karimNasri:</t>
        </r>
        <r>
          <rPr>
            <sz val="9"/>
            <color indexed="81"/>
            <rFont val="Tahoma"/>
            <family val="2"/>
          </rPr>
          <t xml:space="preserve">
Si vous voulez aidez les etudiants </t>
        </r>
      </text>
    </comment>
  </commentList>
</comments>
</file>

<file path=xl/comments2.xml><?xml version="1.0" encoding="utf-8"?>
<comments xmlns="http://schemas.openxmlformats.org/spreadsheetml/2006/main">
  <authors>
    <author>karimNasri</author>
  </authors>
  <commentList>
    <comment ref="B17" authorId="0" shapeId="0">
      <text>
        <r>
          <rPr>
            <b/>
            <sz val="9"/>
            <color indexed="81"/>
            <rFont val="Tahoma"/>
            <family val="2"/>
          </rPr>
          <t>karimNasri:</t>
        </r>
        <r>
          <rPr>
            <sz val="9"/>
            <color indexed="81"/>
            <rFont val="Tahoma"/>
            <family val="2"/>
          </rPr>
          <t xml:space="preserve">
Insertion manuelle</t>
        </r>
      </text>
    </comment>
  </commentList>
</comments>
</file>

<file path=xl/comments3.xml><?xml version="1.0" encoding="utf-8"?>
<comments xmlns="http://schemas.openxmlformats.org/spreadsheetml/2006/main">
  <authors>
    <author>karimNasri</author>
  </authors>
  <commentList>
    <comment ref="B26" authorId="0" shapeId="0">
      <text>
        <r>
          <rPr>
            <b/>
            <sz val="9"/>
            <color indexed="81"/>
            <rFont val="Tahoma"/>
            <family val="2"/>
          </rPr>
          <t>karimNasri:</t>
        </r>
        <r>
          <rPr>
            <sz val="9"/>
            <color indexed="81"/>
            <rFont val="Tahoma"/>
            <family val="2"/>
          </rPr>
          <t xml:space="preserve">
Insertion des critères manuellement </t>
        </r>
      </text>
    </comment>
    <comment ref="D26" authorId="0" shapeId="0">
      <text>
        <r>
          <rPr>
            <b/>
            <sz val="9"/>
            <color indexed="81"/>
            <rFont val="Tahoma"/>
            <family val="2"/>
          </rPr>
          <t>karimNasri:</t>
        </r>
        <r>
          <rPr>
            <sz val="9"/>
            <color indexed="81"/>
            <rFont val="Tahoma"/>
            <family val="2"/>
          </rPr>
          <t xml:space="preserve">
Insertion manuel des 
Critère </t>
        </r>
      </text>
    </comment>
  </commentList>
</comments>
</file>

<file path=xl/comments4.xml><?xml version="1.0" encoding="utf-8"?>
<comments xmlns="http://schemas.openxmlformats.org/spreadsheetml/2006/main">
  <authors>
    <author>karimNasri</author>
  </authors>
  <commentList>
    <comment ref="A10" authorId="0" shapeId="0">
      <text>
        <r>
          <rPr>
            <b/>
            <sz val="9"/>
            <color indexed="81"/>
            <rFont val="Tahoma"/>
            <family val="2"/>
          </rPr>
          <t>karimNasri:</t>
        </r>
        <r>
          <rPr>
            <sz val="9"/>
            <color indexed="81"/>
            <rFont val="Tahoma"/>
            <family val="2"/>
          </rPr>
          <t xml:space="preserve">
Modifier les valeurs 
des évaluation </t>
        </r>
      </text>
    </comment>
  </commentList>
</comments>
</file>

<file path=xl/sharedStrings.xml><?xml version="1.0" encoding="utf-8"?>
<sst xmlns="http://schemas.openxmlformats.org/spreadsheetml/2006/main" count="176" uniqueCount="91">
  <si>
    <t>Total</t>
  </si>
  <si>
    <t>%</t>
  </si>
  <si>
    <t>A+</t>
  </si>
  <si>
    <t>A</t>
  </si>
  <si>
    <t>A-</t>
  </si>
  <si>
    <t>B+</t>
  </si>
  <si>
    <t>B</t>
  </si>
  <si>
    <t>B-</t>
  </si>
  <si>
    <t>C+</t>
  </si>
  <si>
    <t>C</t>
  </si>
  <si>
    <t>C-</t>
  </si>
  <si>
    <t>D+</t>
  </si>
  <si>
    <t>D</t>
  </si>
  <si>
    <t>D-</t>
  </si>
  <si>
    <t>F</t>
  </si>
  <si>
    <t>ID</t>
  </si>
  <si>
    <t>DisplayID</t>
  </si>
  <si>
    <t>[42]</t>
  </si>
  <si>
    <t>Percentiles</t>
  </si>
  <si>
    <t>Percentile</t>
  </si>
  <si>
    <t>p</t>
  </si>
  <si>
    <t>NASRI</t>
  </si>
  <si>
    <t>MESSAOUDI</t>
  </si>
  <si>
    <t>Influence:</t>
  </si>
  <si>
    <t>Comp1.23</t>
  </si>
  <si>
    <t>DP 2</t>
  </si>
  <si>
    <t>Rapport</t>
  </si>
  <si>
    <t>Soutenance</t>
  </si>
  <si>
    <t>autre critere</t>
  </si>
  <si>
    <t>Etudiant</t>
  </si>
  <si>
    <t>[ TP SIAD]</t>
  </si>
  <si>
    <t>[Mr Chaalal]</t>
  </si>
  <si>
    <t>Noms</t>
  </si>
  <si>
    <t>Questions</t>
  </si>
  <si>
    <t>Partie de l'evaluation</t>
  </si>
  <si>
    <t xml:space="preserve"> </t>
  </si>
  <si>
    <t>Conception &amp; Réalisation</t>
  </si>
  <si>
    <t>Appréciation</t>
  </si>
  <si>
    <t xml:space="preserve">Etude existant, bibliographie,  analyse  </t>
  </si>
  <si>
    <t>A17</t>
  </si>
  <si>
    <t>Poids</t>
  </si>
  <si>
    <t>• Compétences</t>
  </si>
  <si>
    <t xml:space="preserve">Total </t>
  </si>
  <si>
    <t>Note Final %</t>
  </si>
  <si>
    <t>Note Final /20</t>
  </si>
  <si>
    <t xml:space="preserve">présentation du contexte, problématique, objectifs     </t>
  </si>
  <si>
    <t>Qualité du planning travail</t>
  </si>
  <si>
    <t>Respect du planning</t>
  </si>
  <si>
    <t>Démarch projet</t>
  </si>
  <si>
    <t>Qualité du travail présenter lors des réunion périodique</t>
  </si>
  <si>
    <t xml:space="preserve">Présentation du sujet et la problématique </t>
  </si>
  <si>
    <t xml:space="preserve">Capacité de synthèse </t>
  </si>
  <si>
    <t>ID de l'étudiant:</t>
  </si>
  <si>
    <t>Nom de l'étudiant :</t>
  </si>
  <si>
    <t>Coéfficient:</t>
  </si>
  <si>
    <t>[NASRI-MESSAOUDI]</t>
  </si>
  <si>
    <t xml:space="preserve">présentation du contexte, problématique, objectifs  </t>
  </si>
  <si>
    <t xml:space="preserve"> étude existant, bibliographie,  analyse   </t>
  </si>
  <si>
    <t xml:space="preserve"> solution proposée, conception,  fonctionnalités  </t>
  </si>
  <si>
    <t xml:space="preserve">intégrité des données, intégration, documentation technique de la solution </t>
  </si>
  <si>
    <t>réalisation, qualité code</t>
  </si>
  <si>
    <t xml:space="preserve">qualité de la démo,              </t>
  </si>
  <si>
    <t xml:space="preserve"> IHM</t>
  </si>
  <si>
    <t>sécurité, performances, fiabilité, cout, satisfaction  usager, déploiement,</t>
  </si>
  <si>
    <t xml:space="preserve">Présentation du contexte, problématique, objectifs                                                                   </t>
  </si>
  <si>
    <t>NASRI karim</t>
  </si>
  <si>
    <t>Benmessaoud mehdi</t>
  </si>
  <si>
    <t>Naruto Uzumaki</t>
  </si>
  <si>
    <t>Tableau de notes</t>
  </si>
  <si>
    <t>Moyenne:</t>
  </si>
  <si>
    <t>Moyenne%:</t>
  </si>
  <si>
    <t>Mediane:</t>
  </si>
  <si>
    <t>moyenne general:</t>
  </si>
  <si>
    <t>Listes des binomes</t>
  </si>
  <si>
    <t>Mesure d'évaluation</t>
  </si>
  <si>
    <t>Moyenne de promotion</t>
  </si>
  <si>
    <t>Etudiants:</t>
  </si>
  <si>
    <t>"90% des étudiants ont eu moins que …"</t>
  </si>
  <si>
    <t>Note Final</t>
  </si>
  <si>
    <t>Fréquence</t>
  </si>
  <si>
    <t>Minimum</t>
  </si>
  <si>
    <t>Evaluation</t>
  </si>
  <si>
    <t>Mesure</t>
  </si>
  <si>
    <t>Critéres</t>
  </si>
  <si>
    <t>ESI            DEMARCHE PROJET</t>
  </si>
  <si>
    <t>ESI            CONCEPTION &amp; REALISATION</t>
  </si>
  <si>
    <t>ESI            RAPPORT</t>
  </si>
  <si>
    <t>ESI           SOUTENANCE</t>
  </si>
  <si>
    <t>Liste des Critères</t>
  </si>
  <si>
    <t>Pour ajouter des lignes copier et coller la ligne ici</t>
  </si>
  <si>
    <t xml:space="preserve">INSERER ICI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</si>
</sst>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"/>
    <numFmt numFmtId="165" formatCode="d"/>
    <numFmt numFmtId="166" formatCode="0.0%"/>
    <numFmt numFmtId="167" formatCode="0.0;;&quot; - &quot;;@"/>
    <numFmt numFmtId="168" formatCode="General;;&quot;&quot;;@"/>
    <numFmt numFmtId="169" formatCode="0#.#0&quot;/20&quot;"/>
    <numFmt numFmtId="170" formatCode="0#.#0&quot;/10&quot;"/>
    <numFmt numFmtId="171" formatCode="0#.#0"/>
  </numFmts>
  <fonts count="46" x14ac:knownFonts="1">
    <font>
      <sz val="10"/>
      <name val="Arial"/>
      <family val="2"/>
    </font>
    <font>
      <sz val="10"/>
      <name val="Arial"/>
    </font>
    <font>
      <sz val="8"/>
      <name val="Arial"/>
      <family val="2"/>
    </font>
    <font>
      <u/>
      <sz val="10"/>
      <color indexed="12"/>
      <name val="Trebuchet MS"/>
      <family val="2"/>
    </font>
    <font>
      <sz val="8"/>
      <name val="Tahoma"/>
      <family val="2"/>
    </font>
    <font>
      <b/>
      <sz val="18"/>
      <color indexed="6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color indexed="63"/>
      <name val="Arial"/>
      <family val="2"/>
    </font>
    <font>
      <b/>
      <sz val="11"/>
      <color indexed="63"/>
      <name val="Arial"/>
      <family val="2"/>
    </font>
    <font>
      <sz val="10"/>
      <color indexed="63"/>
      <name val="Arial"/>
      <family val="2"/>
    </font>
    <font>
      <b/>
      <sz val="11"/>
      <name val="Arial"/>
      <family val="2"/>
    </font>
    <font>
      <i/>
      <sz val="10"/>
      <name val="Arial"/>
      <family val="2"/>
    </font>
    <font>
      <sz val="11"/>
      <name val="Arial"/>
      <family val="2"/>
    </font>
    <font>
      <sz val="18"/>
      <color indexed="60"/>
      <name val="Trebuchet MS"/>
      <family val="2"/>
    </font>
    <font>
      <i/>
      <sz val="8"/>
      <color indexed="23"/>
      <name val="Arial"/>
      <family val="2"/>
    </font>
    <font>
      <sz val="9"/>
      <name val="Arial"/>
      <family val="2"/>
    </font>
    <font>
      <sz val="8"/>
      <color indexed="9"/>
      <name val="Arial"/>
      <family val="2"/>
    </font>
    <font>
      <u/>
      <sz val="10"/>
      <color indexed="12"/>
      <name val="Arial"/>
      <family val="2"/>
    </font>
    <font>
      <i/>
      <sz val="10"/>
      <color indexed="55"/>
      <name val="Arial"/>
      <family val="2"/>
    </font>
    <font>
      <sz val="10"/>
      <color indexed="55"/>
      <name val="Arial"/>
      <family val="2"/>
    </font>
    <font>
      <sz val="10"/>
      <color indexed="9"/>
      <name val="Arial"/>
      <family val="2"/>
    </font>
    <font>
      <b/>
      <sz val="11"/>
      <color indexed="8"/>
      <name val="Calibri"/>
      <family val="2"/>
    </font>
    <font>
      <b/>
      <sz val="14"/>
      <name val="Times New Roman"/>
      <family val="1"/>
    </font>
    <font>
      <sz val="12"/>
      <color indexed="8"/>
      <name val="Calibri"/>
      <family val="2"/>
    </font>
    <font>
      <sz val="12"/>
      <color indexed="8"/>
      <name val="Times New Roman"/>
      <family val="1"/>
    </font>
    <font>
      <sz val="14"/>
      <color indexed="8"/>
      <name val="Times New Roman"/>
      <family val="1"/>
    </font>
    <font>
      <b/>
      <sz val="10"/>
      <color indexed="10"/>
      <name val="Times New Roman"/>
      <family val="1"/>
    </font>
    <font>
      <b/>
      <sz val="10"/>
      <color indexed="8"/>
      <name val="Times New Roman"/>
      <family val="1"/>
    </font>
    <font>
      <b/>
      <sz val="12"/>
      <name val="Times New Roman"/>
      <family val="1"/>
    </font>
    <font>
      <b/>
      <sz val="14"/>
      <color indexed="8"/>
      <name val="Times New Roman"/>
      <family val="1"/>
    </font>
    <font>
      <b/>
      <sz val="11"/>
      <color indexed="8"/>
      <name val="Times New Roman"/>
      <family val="1"/>
    </font>
    <font>
      <b/>
      <sz val="12"/>
      <color indexed="8"/>
      <name val="Calibri"/>
      <family val="2"/>
    </font>
    <font>
      <b/>
      <sz val="11"/>
      <color indexed="10"/>
      <name val="Times New Roman"/>
      <family val="1"/>
    </font>
    <font>
      <b/>
      <sz val="12"/>
      <color indexed="10"/>
      <name val="Calibri"/>
      <family val="2"/>
    </font>
    <font>
      <sz val="11"/>
      <color indexed="8"/>
      <name val="Times New Roman"/>
      <family val="1"/>
    </font>
    <font>
      <b/>
      <sz val="11"/>
      <color indexed="56"/>
      <name val="Times New Roman"/>
      <family val="1"/>
    </font>
    <font>
      <b/>
      <sz val="12"/>
      <color indexed="56"/>
      <name val="Calibri"/>
      <family val="2"/>
    </font>
    <font>
      <b/>
      <sz val="11"/>
      <name val="Times New Roman"/>
      <family val="1"/>
    </font>
    <font>
      <b/>
      <sz val="8"/>
      <name val="Times New Roman"/>
      <family val="1"/>
    </font>
    <font>
      <sz val="11"/>
      <name val="Times New Roman"/>
      <family val="1"/>
    </font>
    <font>
      <b/>
      <sz val="12"/>
      <color indexed="17"/>
      <name val="Calibri"/>
      <family val="2"/>
    </font>
    <font>
      <b/>
      <sz val="10"/>
      <name val="Times New Roman"/>
      <family val="1"/>
    </font>
    <font>
      <sz val="8"/>
      <color rgb="FF000000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114">
    <xf numFmtId="0" fontId="0" fillId="0" borderId="0" xfId="0"/>
    <xf numFmtId="0" fontId="6" fillId="0" borderId="0" xfId="0" applyFont="1" applyAlignment="1" applyProtection="1">
      <alignment vertical="top"/>
    </xf>
    <xf numFmtId="0" fontId="7" fillId="0" borderId="0" xfId="0" applyFont="1" applyProtection="1"/>
    <xf numFmtId="0" fontId="6" fillId="0" borderId="0" xfId="0" applyFont="1" applyProtection="1"/>
    <xf numFmtId="0" fontId="6" fillId="0" borderId="0" xfId="0" applyFont="1" applyBorder="1" applyProtection="1"/>
    <xf numFmtId="164" fontId="7" fillId="0" borderId="0" xfId="0" applyNumberFormat="1" applyFont="1" applyBorder="1" applyAlignment="1" applyProtection="1">
      <alignment horizontal="left"/>
    </xf>
    <xf numFmtId="0" fontId="5" fillId="0" borderId="0" xfId="0" applyFont="1" applyAlignment="1" applyProtection="1">
      <alignment vertical="top"/>
    </xf>
    <xf numFmtId="0" fontId="6" fillId="0" borderId="0" xfId="0" applyFont="1" applyAlignment="1" applyProtection="1"/>
    <xf numFmtId="0" fontId="9" fillId="2" borderId="0" xfId="0" applyFont="1" applyFill="1" applyBorder="1" applyAlignment="1" applyProtection="1">
      <alignment horizontal="left" indent="2"/>
    </xf>
    <xf numFmtId="0" fontId="9" fillId="2" borderId="0" xfId="0" applyFont="1" applyFill="1" applyBorder="1" applyAlignment="1" applyProtection="1"/>
    <xf numFmtId="0" fontId="8" fillId="2" borderId="0" xfId="0" applyFont="1" applyFill="1" applyBorder="1" applyAlignment="1" applyProtection="1">
      <alignment horizontal="center" vertical="center"/>
    </xf>
    <xf numFmtId="0" fontId="10" fillId="2" borderId="0" xfId="0" applyFont="1" applyFill="1" applyBorder="1" applyAlignment="1" applyProtection="1">
      <alignment horizontal="right" vertical="center"/>
    </xf>
    <xf numFmtId="0" fontId="6" fillId="0" borderId="1" xfId="0" applyFont="1" applyBorder="1" applyAlignment="1" applyProtection="1"/>
    <xf numFmtId="0" fontId="11" fillId="0" borderId="0" xfId="0" applyFont="1" applyFill="1" applyAlignment="1" applyProtection="1">
      <alignment horizontal="center"/>
    </xf>
    <xf numFmtId="0" fontId="0" fillId="0" borderId="0" xfId="0" applyAlignment="1">
      <alignment horizontal="center"/>
    </xf>
    <xf numFmtId="0" fontId="12" fillId="0" borderId="0" xfId="0" applyFont="1"/>
    <xf numFmtId="0" fontId="6" fillId="3" borderId="0" xfId="0" applyFont="1" applyFill="1" applyAlignment="1" applyProtection="1">
      <alignment horizontal="center"/>
    </xf>
    <xf numFmtId="0" fontId="6" fillId="2" borderId="0" xfId="0" applyFont="1" applyFill="1" applyAlignment="1" applyProtection="1">
      <alignment horizontal="center"/>
    </xf>
    <xf numFmtId="0" fontId="13" fillId="0" borderId="0" xfId="0" applyFont="1" applyProtection="1"/>
    <xf numFmtId="0" fontId="11" fillId="0" borderId="0" xfId="0" applyFont="1" applyProtection="1"/>
    <xf numFmtId="0" fontId="6" fillId="0" borderId="1" xfId="0" applyFont="1" applyBorder="1" applyAlignment="1" applyProtection="1">
      <alignment horizontal="center"/>
    </xf>
    <xf numFmtId="166" fontId="6" fillId="3" borderId="0" xfId="3" applyNumberFormat="1" applyFont="1" applyFill="1" applyBorder="1" applyProtection="1"/>
    <xf numFmtId="0" fontId="6" fillId="3" borderId="0" xfId="0" applyNumberFormat="1" applyFont="1" applyFill="1" applyBorder="1" applyAlignment="1" applyProtection="1">
      <alignment horizontal="center"/>
    </xf>
    <xf numFmtId="166" fontId="6" fillId="2" borderId="0" xfId="3" applyNumberFormat="1" applyFont="1" applyFill="1" applyBorder="1" applyProtection="1"/>
    <xf numFmtId="10" fontId="0" fillId="3" borderId="0" xfId="3" applyNumberFormat="1" applyFont="1" applyFill="1"/>
    <xf numFmtId="0" fontId="0" fillId="3" borderId="0" xfId="0" applyFill="1" applyAlignment="1">
      <alignment horizontal="center"/>
    </xf>
    <xf numFmtId="0" fontId="7" fillId="0" borderId="0" xfId="0" applyFont="1" applyAlignment="1">
      <alignment horizontal="center"/>
    </xf>
    <xf numFmtId="0" fontId="6" fillId="0" borderId="2" xfId="0" applyNumberFormat="1" applyFont="1" applyFill="1" applyBorder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locked="0"/>
    </xf>
    <xf numFmtId="43" fontId="14" fillId="0" borderId="0" xfId="1" applyFont="1" applyFill="1" applyAlignment="1">
      <alignment horizontal="left" vertical="center"/>
    </xf>
    <xf numFmtId="43" fontId="4" fillId="0" borderId="0" xfId="1" applyFont="1" applyFill="1" applyAlignment="1">
      <alignment horizontal="left"/>
    </xf>
    <xf numFmtId="0" fontId="10" fillId="0" borderId="0" xfId="0" applyFont="1" applyFill="1" applyBorder="1" applyAlignment="1" applyProtection="1">
      <alignment horizontal="right" vertical="center"/>
    </xf>
    <xf numFmtId="168" fontId="6" fillId="4" borderId="1" xfId="0" applyNumberFormat="1" applyFont="1" applyFill="1" applyBorder="1" applyAlignment="1" applyProtection="1">
      <alignment horizontal="left"/>
    </xf>
    <xf numFmtId="166" fontId="0" fillId="0" borderId="1" xfId="3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1" fillId="0" borderId="0" xfId="0" applyFont="1"/>
    <xf numFmtId="166" fontId="10" fillId="2" borderId="0" xfId="0" applyNumberFormat="1" applyFont="1" applyFill="1" applyBorder="1" applyAlignment="1" applyProtection="1">
      <alignment horizontal="center" vertical="center"/>
    </xf>
    <xf numFmtId="0" fontId="10" fillId="2" borderId="0" xfId="0" applyFont="1" applyFill="1" applyBorder="1" applyAlignment="1" applyProtection="1">
      <alignment horizontal="center" vertical="center"/>
    </xf>
    <xf numFmtId="167" fontId="16" fillId="3" borderId="0" xfId="0" applyNumberFormat="1" applyFont="1" applyFill="1" applyBorder="1" applyProtection="1"/>
    <xf numFmtId="0" fontId="17" fillId="0" borderId="0" xfId="0" applyFont="1" applyBorder="1" applyProtection="1"/>
    <xf numFmtId="0" fontId="13" fillId="0" borderId="0" xfId="0" applyFont="1"/>
    <xf numFmtId="0" fontId="13" fillId="0" borderId="0" xfId="0" applyFont="1" applyAlignment="1">
      <alignment horizontal="right"/>
    </xf>
    <xf numFmtId="0" fontId="6" fillId="0" borderId="0" xfId="0" applyFont="1" applyAlignment="1" applyProtection="1">
      <alignment horizontal="right"/>
    </xf>
    <xf numFmtId="166" fontId="0" fillId="0" borderId="0" xfId="3" applyNumberFormat="1" applyFont="1"/>
    <xf numFmtId="166" fontId="0" fillId="0" borderId="0" xfId="3" applyNumberFormat="1" applyFont="1" applyBorder="1" applyAlignment="1">
      <alignment horizontal="center"/>
    </xf>
    <xf numFmtId="0" fontId="0" fillId="0" borderId="3" xfId="0" applyBorder="1" applyAlignment="1">
      <alignment horizontal="center"/>
    </xf>
    <xf numFmtId="10" fontId="0" fillId="0" borderId="0" xfId="3" applyNumberFormat="1" applyFont="1"/>
    <xf numFmtId="10" fontId="0" fillId="0" borderId="0" xfId="0" applyNumberFormat="1"/>
    <xf numFmtId="0" fontId="0" fillId="0" borderId="0" xfId="0" applyAlignment="1">
      <alignment horizontal="right"/>
    </xf>
    <xf numFmtId="0" fontId="12" fillId="0" borderId="0" xfId="0" applyFont="1" applyAlignment="1">
      <alignment horizontal="center"/>
    </xf>
    <xf numFmtId="166" fontId="0" fillId="0" borderId="1" xfId="3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8" fillId="0" borderId="0" xfId="2" applyFont="1" applyAlignment="1" applyProtection="1"/>
    <xf numFmtId="0" fontId="7" fillId="0" borderId="0" xfId="0" applyFont="1"/>
    <xf numFmtId="166" fontId="0" fillId="5" borderId="1" xfId="3" applyNumberFormat="1" applyFont="1" applyFill="1" applyBorder="1" applyAlignment="1">
      <alignment horizontal="center"/>
    </xf>
    <xf numFmtId="166" fontId="0" fillId="0" borderId="0" xfId="0" applyNumberFormat="1"/>
    <xf numFmtId="0" fontId="15" fillId="4" borderId="0" xfId="0" applyFont="1" applyFill="1" applyBorder="1" applyAlignment="1" applyProtection="1"/>
    <xf numFmtId="0" fontId="6" fillId="4" borderId="0" xfId="0" applyFont="1" applyFill="1" applyBorder="1" applyAlignment="1" applyProtection="1">
      <alignment horizontal="center"/>
    </xf>
    <xf numFmtId="166" fontId="0" fillId="0" borderId="4" xfId="3" applyNumberFormat="1" applyFont="1" applyBorder="1"/>
    <xf numFmtId="0" fontId="19" fillId="0" borderId="0" xfId="0" applyFont="1" applyAlignment="1">
      <alignment horizontal="right"/>
    </xf>
    <xf numFmtId="0" fontId="20" fillId="0" borderId="0" xfId="0" applyFont="1"/>
    <xf numFmtId="0" fontId="17" fillId="0" borderId="0" xfId="0" applyFont="1" applyAlignment="1" applyProtection="1">
      <alignment horizontal="right"/>
    </xf>
    <xf numFmtId="0" fontId="21" fillId="0" borderId="0" xfId="0" applyFont="1"/>
    <xf numFmtId="166" fontId="7" fillId="3" borderId="0" xfId="3" applyNumberFormat="1" applyFont="1" applyFill="1" applyBorder="1" applyProtection="1"/>
    <xf numFmtId="10" fontId="16" fillId="0" borderId="1" xfId="3" applyNumberFormat="1" applyFont="1" applyBorder="1" applyAlignment="1" applyProtection="1">
      <alignment horizontal="right"/>
      <protection locked="0"/>
    </xf>
    <xf numFmtId="0" fontId="0" fillId="0" borderId="1" xfId="0" applyFont="1" applyBorder="1" applyAlignment="1" applyProtection="1"/>
    <xf numFmtId="0" fontId="0" fillId="0" borderId="0" xfId="0" applyFont="1" applyBorder="1" applyAlignment="1" applyProtection="1">
      <alignment horizontal="right"/>
    </xf>
    <xf numFmtId="165" fontId="2" fillId="0" borderId="5" xfId="0" applyNumberFormat="1" applyFont="1" applyFill="1" applyBorder="1" applyAlignment="1" applyProtection="1">
      <alignment horizontal="center" textRotation="90" wrapText="1"/>
      <protection locked="0"/>
    </xf>
    <xf numFmtId="0" fontId="6" fillId="0" borderId="0" xfId="0" applyFont="1" applyBorder="1" applyAlignment="1" applyProtection="1">
      <alignment horizontal="center"/>
    </xf>
    <xf numFmtId="0" fontId="23" fillId="0" borderId="6" xfId="0" applyFont="1" applyBorder="1" applyAlignment="1" applyProtection="1">
      <alignment horizontal="left"/>
    </xf>
    <xf numFmtId="0" fontId="24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29" fillId="6" borderId="6" xfId="0" applyFont="1" applyFill="1" applyBorder="1" applyAlignment="1" applyProtection="1">
      <alignment vertical="top" wrapText="1"/>
    </xf>
    <xf numFmtId="0" fontId="30" fillId="0" borderId="7" xfId="0" applyFont="1" applyFill="1" applyBorder="1" applyAlignment="1">
      <alignment horizontal="center" vertical="center"/>
    </xf>
    <xf numFmtId="0" fontId="30" fillId="0" borderId="8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2" fillId="0" borderId="0" xfId="0" applyFont="1" applyAlignment="1">
      <alignment vertical="center"/>
    </xf>
    <xf numFmtId="0" fontId="28" fillId="0" borderId="7" xfId="0" applyFont="1" applyFill="1" applyBorder="1" applyAlignment="1">
      <alignment vertical="center"/>
    </xf>
    <xf numFmtId="0" fontId="31" fillId="7" borderId="9" xfId="0" applyFont="1" applyFill="1" applyBorder="1" applyAlignment="1">
      <alignment horizontal="center" vertical="center" wrapText="1"/>
    </xf>
    <xf numFmtId="169" fontId="33" fillId="8" borderId="2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vertical="center"/>
    </xf>
    <xf numFmtId="170" fontId="34" fillId="0" borderId="0" xfId="0" applyNumberFormat="1" applyFont="1" applyFill="1" applyBorder="1" applyAlignment="1">
      <alignment horizontal="center" vertical="center"/>
    </xf>
    <xf numFmtId="0" fontId="31" fillId="3" borderId="2" xfId="0" applyFont="1" applyFill="1" applyBorder="1" applyAlignment="1">
      <alignment vertical="center"/>
    </xf>
    <xf numFmtId="171" fontId="36" fillId="3" borderId="2" xfId="0" applyNumberFormat="1" applyFont="1" applyFill="1" applyBorder="1" applyAlignment="1">
      <alignment horizontal="center" vertical="center"/>
    </xf>
    <xf numFmtId="171" fontId="37" fillId="0" borderId="0" xfId="0" applyNumberFormat="1" applyFont="1" applyFill="1" applyBorder="1" applyAlignment="1">
      <alignment horizontal="center" vertical="center"/>
    </xf>
    <xf numFmtId="0" fontId="35" fillId="10" borderId="2" xfId="0" applyFont="1" applyFill="1" applyBorder="1" applyAlignment="1" applyProtection="1">
      <alignment vertical="center"/>
    </xf>
    <xf numFmtId="0" fontId="40" fillId="0" borderId="0" xfId="0" applyFont="1" applyBorder="1" applyAlignment="1">
      <alignment horizontal="left" indent="1"/>
    </xf>
    <xf numFmtId="0" fontId="35" fillId="0" borderId="2" xfId="0" applyFont="1" applyBorder="1" applyAlignment="1">
      <alignment horizontal="left" vertical="center" indent="1"/>
    </xf>
    <xf numFmtId="0" fontId="38" fillId="5" borderId="10" xfId="0" applyFont="1" applyFill="1" applyBorder="1" applyAlignment="1" applyProtection="1">
      <alignment horizontal="center" vertical="center" wrapText="1"/>
      <protection locked="0"/>
    </xf>
    <xf numFmtId="171" fontId="39" fillId="9" borderId="2" xfId="0" applyNumberFormat="1" applyFont="1" applyFill="1" applyBorder="1" applyAlignment="1">
      <alignment horizontal="center" vertical="center"/>
    </xf>
    <xf numFmtId="171" fontId="41" fillId="0" borderId="0" xfId="0" applyNumberFormat="1" applyFont="1" applyFill="1" applyBorder="1" applyAlignment="1">
      <alignment horizontal="center" vertical="center"/>
    </xf>
    <xf numFmtId="171" fontId="42" fillId="0" borderId="0" xfId="0" applyNumberFormat="1" applyFont="1" applyFill="1" applyBorder="1" applyAlignment="1">
      <alignment horizontal="center" vertical="center"/>
    </xf>
    <xf numFmtId="171" fontId="27" fillId="0" borderId="0" xfId="0" applyNumberFormat="1" applyFont="1" applyFill="1" applyBorder="1" applyAlignment="1">
      <alignment horizontal="center" vertical="center"/>
    </xf>
    <xf numFmtId="171" fontId="39" fillId="9" borderId="0" xfId="0" applyNumberFormat="1" applyFont="1" applyFill="1" applyBorder="1" applyAlignment="1">
      <alignment horizontal="center" vertical="center"/>
    </xf>
    <xf numFmtId="0" fontId="38" fillId="11" borderId="0" xfId="0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>
      <alignment horizontal="center" vertical="center"/>
    </xf>
    <xf numFmtId="0" fontId="0" fillId="10" borderId="0" xfId="0" applyFill="1"/>
    <xf numFmtId="0" fontId="29" fillId="0" borderId="0" xfId="0" applyFont="1" applyAlignment="1">
      <alignment horizontal="right"/>
    </xf>
    <xf numFmtId="171" fontId="0" fillId="0" borderId="0" xfId="0" applyNumberFormat="1"/>
    <xf numFmtId="0" fontId="23" fillId="0" borderId="0" xfId="0" applyFont="1" applyBorder="1" applyAlignment="1" applyProtection="1">
      <alignment horizontal="left"/>
    </xf>
    <xf numFmtId="0" fontId="8" fillId="10" borderId="0" xfId="0" applyFont="1" applyFill="1" applyBorder="1" applyAlignment="1" applyProtection="1">
      <alignment horizontal="center" vertical="center"/>
    </xf>
    <xf numFmtId="0" fontId="0" fillId="0" borderId="0" xfId="0" applyFont="1" applyBorder="1" applyAlignment="1" applyProtection="1">
      <alignment horizontal="center"/>
    </xf>
    <xf numFmtId="0" fontId="23" fillId="0" borderId="0" xfId="0" applyFont="1" applyBorder="1" applyAlignment="1" applyProtection="1">
      <alignment horizontal="right"/>
    </xf>
    <xf numFmtId="0" fontId="23" fillId="0" borderId="0" xfId="0" applyFont="1" applyAlignment="1" applyProtection="1">
      <alignment horizontal="right"/>
    </xf>
    <xf numFmtId="0" fontId="24" fillId="0" borderId="0" xfId="0" applyFont="1" applyAlignment="1">
      <alignment horizontal="center" vertical="center"/>
    </xf>
    <xf numFmtId="0" fontId="31" fillId="10" borderId="7" xfId="0" applyFont="1" applyFill="1" applyBorder="1" applyAlignment="1">
      <alignment horizontal="center" vertical="center" wrapText="1"/>
    </xf>
    <xf numFmtId="0" fontId="29" fillId="10" borderId="11" xfId="0" applyFont="1" applyFill="1" applyBorder="1" applyAlignment="1" applyProtection="1">
      <alignment vertical="top" wrapText="1"/>
    </xf>
    <xf numFmtId="0" fontId="0" fillId="12" borderId="0" xfId="0" applyFill="1"/>
    <xf numFmtId="0" fontId="35" fillId="0" borderId="0" xfId="0" applyFont="1" applyBorder="1" applyAlignment="1">
      <alignment horizontal="left" vertical="center" indent="1"/>
    </xf>
    <xf numFmtId="0" fontId="0" fillId="0" borderId="0" xfId="0" applyFont="1" applyAlignment="1" applyProtection="1">
      <alignment horizontal="right"/>
    </xf>
    <xf numFmtId="0" fontId="0" fillId="0" borderId="0" xfId="0" applyFont="1" applyBorder="1" applyAlignment="1">
      <alignment horizontal="right"/>
    </xf>
    <xf numFmtId="0" fontId="2" fillId="0" borderId="0" xfId="0" applyFont="1"/>
    <xf numFmtId="0" fontId="10" fillId="2" borderId="0" xfId="0" applyFont="1" applyFill="1" applyBorder="1" applyAlignment="1" applyProtection="1">
      <alignment horizontal="center" vertical="center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83B1C9"/>
      <rgbColor rgb="00007F74"/>
      <rgbColor rgb="00F0F0F0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E4EEF3"/>
      <rgbColor rgb="00F3E9E4"/>
      <rgbColor rgb="001849B5"/>
      <rgbColor rgb="0036ACA2"/>
      <rgbColor rgb="00F0BA00"/>
      <rgbColor rgb="00E1C8BC"/>
      <rgbColor rgb="00C99A83"/>
      <rgbColor rgb="0087543B"/>
      <rgbColor rgb="003B6D87"/>
      <rgbColor rgb="00C0C0C0"/>
      <rgbColor rgb="00003366"/>
      <rgbColor rgb="00109618"/>
      <rgbColor rgb="00085108"/>
      <rgbColor rgb="00635100"/>
      <rgbColor rgb="00593727"/>
      <rgbColor rgb="00BCD5E1"/>
      <rgbColor rgb="0027485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Histogram</a:t>
            </a:r>
          </a:p>
        </c:rich>
      </c:tx>
      <c:layout>
        <c:manualLayout>
          <c:xMode val="edge"/>
          <c:yMode val="edge"/>
          <c:x val="0.1848963801399825"/>
          <c:y val="1.96078431372549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239614460282543"/>
          <c:y val="5.8823754686560537E-2"/>
          <c:w val="0.84114797248324713"/>
          <c:h val="0.819610981966076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Notes!$B$9</c:f>
              <c:strCache>
                <c:ptCount val="1"/>
                <c:pt idx="0">
                  <c:v>Evaluation</c:v>
                </c:pt>
              </c:strCache>
            </c:strRef>
          </c:tx>
          <c:spPr>
            <a:solidFill>
              <a:srgbClr val="83B1C9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Notes!$B$10:$B$22</c:f>
              <c:strCache>
                <c:ptCount val="13"/>
                <c:pt idx="0">
                  <c:v>F</c:v>
                </c:pt>
                <c:pt idx="1">
                  <c:v>D-</c:v>
                </c:pt>
                <c:pt idx="2">
                  <c:v>D</c:v>
                </c:pt>
                <c:pt idx="3">
                  <c:v>D+</c:v>
                </c:pt>
                <c:pt idx="4">
                  <c:v>C-</c:v>
                </c:pt>
                <c:pt idx="5">
                  <c:v>C</c:v>
                </c:pt>
                <c:pt idx="6">
                  <c:v>C+</c:v>
                </c:pt>
                <c:pt idx="7">
                  <c:v>B-</c:v>
                </c:pt>
                <c:pt idx="8">
                  <c:v>B</c:v>
                </c:pt>
                <c:pt idx="9">
                  <c:v>B+</c:v>
                </c:pt>
                <c:pt idx="10">
                  <c:v>A-</c:v>
                </c:pt>
                <c:pt idx="11">
                  <c:v>A</c:v>
                </c:pt>
                <c:pt idx="12">
                  <c:v>A+</c:v>
                </c:pt>
              </c:strCache>
            </c:strRef>
          </c:cat>
          <c:val>
            <c:numRef>
              <c:f>Notes!$C$10:$C$22</c:f>
              <c:numCache>
                <c:formatCode>General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041408"/>
        <c:axId val="190043368"/>
      </c:barChart>
      <c:catAx>
        <c:axId val="190041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900433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00433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Frequency</a:t>
                </a:r>
              </a:p>
            </c:rich>
          </c:tx>
          <c:layout>
            <c:manualLayout>
              <c:xMode val="edge"/>
              <c:yMode val="edge"/>
              <c:x val="1.3020833333333334E-2"/>
              <c:y val="0.3450992743554114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9004140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CheckBox" checked="Checked" fmlaLink="displayID" lockText="1" noThreeD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192768</xdr:colOff>
      <xdr:row>4</xdr:row>
      <xdr:rowOff>226785</xdr:rowOff>
    </xdr:from>
    <xdr:to>
      <xdr:col>0</xdr:col>
      <xdr:colOff>1519464</xdr:colOff>
      <xdr:row>6</xdr:row>
      <xdr:rowOff>0</xdr:rowOff>
    </xdr:to>
    <xdr:sp macro="[0]!addCellFinal" textlink="">
      <xdr:nvSpPr>
        <xdr:cNvPr id="5" name="Rectangle 4"/>
        <xdr:cNvSpPr/>
      </xdr:nvSpPr>
      <xdr:spPr>
        <a:xfrm>
          <a:off x="192768" y="725714"/>
          <a:ext cx="1326696" cy="3855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Ajouter un critère</a:t>
          </a:r>
        </a:p>
      </xdr:txBody>
    </xdr:sp>
    <xdr:clientData/>
  </xdr:twoCellAnchor>
  <xdr:twoCellAnchor>
    <xdr:from>
      <xdr:col>0</xdr:col>
      <xdr:colOff>1819275</xdr:colOff>
      <xdr:row>4</xdr:row>
      <xdr:rowOff>231774</xdr:rowOff>
    </xdr:from>
    <xdr:to>
      <xdr:col>0</xdr:col>
      <xdr:colOff>3311071</xdr:colOff>
      <xdr:row>6</xdr:row>
      <xdr:rowOff>4989</xdr:rowOff>
    </xdr:to>
    <xdr:sp macro="[0]!deleteQ" textlink="">
      <xdr:nvSpPr>
        <xdr:cNvPr id="6" name="Rectangle 5"/>
        <xdr:cNvSpPr/>
      </xdr:nvSpPr>
      <xdr:spPr>
        <a:xfrm>
          <a:off x="1819275" y="730703"/>
          <a:ext cx="1491796" cy="385536"/>
        </a:xfrm>
        <a:prstGeom prst="rect">
          <a:avLst/>
        </a:prstGeom>
        <a:solidFill>
          <a:srgbClr val="D7985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/>
            <a:t>Supprime un </a:t>
          </a:r>
          <a:r>
            <a:rPr lang="fr-F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critère</a:t>
          </a:r>
          <a:endParaRPr lang="fr-FR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192768</xdr:colOff>
      <xdr:row>4</xdr:row>
      <xdr:rowOff>226785</xdr:rowOff>
    </xdr:from>
    <xdr:to>
      <xdr:col>0</xdr:col>
      <xdr:colOff>1519464</xdr:colOff>
      <xdr:row>6</xdr:row>
      <xdr:rowOff>0</xdr:rowOff>
    </xdr:to>
    <xdr:sp macro="[0]!addCellPrj" textlink="">
      <xdr:nvSpPr>
        <xdr:cNvPr id="2" name="Rectangle 1"/>
        <xdr:cNvSpPr/>
      </xdr:nvSpPr>
      <xdr:spPr>
        <a:xfrm>
          <a:off x="192768" y="1198335"/>
          <a:ext cx="1326696" cy="22089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Ajouter un critère</a:t>
          </a:r>
        </a:p>
      </xdr:txBody>
    </xdr:sp>
    <xdr:clientData/>
  </xdr:twoCellAnchor>
  <xdr:twoCellAnchor>
    <xdr:from>
      <xdr:col>0</xdr:col>
      <xdr:colOff>1819275</xdr:colOff>
      <xdr:row>4</xdr:row>
      <xdr:rowOff>231774</xdr:rowOff>
    </xdr:from>
    <xdr:to>
      <xdr:col>0</xdr:col>
      <xdr:colOff>3311071</xdr:colOff>
      <xdr:row>6</xdr:row>
      <xdr:rowOff>4989</xdr:rowOff>
    </xdr:to>
    <xdr:sp macro="[0]!deleteQ" textlink="">
      <xdr:nvSpPr>
        <xdr:cNvPr id="3" name="Rectangle 2"/>
        <xdr:cNvSpPr/>
      </xdr:nvSpPr>
      <xdr:spPr>
        <a:xfrm>
          <a:off x="1819275" y="1203324"/>
          <a:ext cx="1491796" cy="220890"/>
        </a:xfrm>
        <a:prstGeom prst="rect">
          <a:avLst/>
        </a:prstGeom>
        <a:solidFill>
          <a:srgbClr val="D7985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/>
            <a:t>Supprime un </a:t>
          </a:r>
          <a:r>
            <a:rPr lang="fr-F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critère</a:t>
          </a:r>
          <a:endParaRPr lang="fr-FR"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192768</xdr:colOff>
      <xdr:row>4</xdr:row>
      <xdr:rowOff>226785</xdr:rowOff>
    </xdr:from>
    <xdr:to>
      <xdr:col>0</xdr:col>
      <xdr:colOff>1519464</xdr:colOff>
      <xdr:row>6</xdr:row>
      <xdr:rowOff>0</xdr:rowOff>
    </xdr:to>
    <xdr:sp macro="[0]!addCellrapport" textlink="">
      <xdr:nvSpPr>
        <xdr:cNvPr id="2" name="Rectangle 1"/>
        <xdr:cNvSpPr/>
      </xdr:nvSpPr>
      <xdr:spPr>
        <a:xfrm>
          <a:off x="192768" y="1198335"/>
          <a:ext cx="1326696" cy="22089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Ajouter un critère</a:t>
          </a:r>
        </a:p>
      </xdr:txBody>
    </xdr:sp>
    <xdr:clientData/>
  </xdr:twoCellAnchor>
  <xdr:twoCellAnchor>
    <xdr:from>
      <xdr:col>0</xdr:col>
      <xdr:colOff>1819275</xdr:colOff>
      <xdr:row>4</xdr:row>
      <xdr:rowOff>231774</xdr:rowOff>
    </xdr:from>
    <xdr:to>
      <xdr:col>0</xdr:col>
      <xdr:colOff>3311071</xdr:colOff>
      <xdr:row>6</xdr:row>
      <xdr:rowOff>4989</xdr:rowOff>
    </xdr:to>
    <xdr:sp macro="[0]!deleteQ" textlink="">
      <xdr:nvSpPr>
        <xdr:cNvPr id="3" name="Rectangle 2"/>
        <xdr:cNvSpPr/>
      </xdr:nvSpPr>
      <xdr:spPr>
        <a:xfrm>
          <a:off x="1819275" y="1203324"/>
          <a:ext cx="1491796" cy="220890"/>
        </a:xfrm>
        <a:prstGeom prst="rect">
          <a:avLst/>
        </a:prstGeom>
        <a:solidFill>
          <a:srgbClr val="D7985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/>
            <a:t>Supprime un </a:t>
          </a:r>
          <a:r>
            <a:rPr lang="fr-F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critère</a:t>
          </a:r>
          <a:endParaRPr lang="fr-FR"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192768</xdr:colOff>
      <xdr:row>4</xdr:row>
      <xdr:rowOff>226785</xdr:rowOff>
    </xdr:from>
    <xdr:to>
      <xdr:col>0</xdr:col>
      <xdr:colOff>1519464</xdr:colOff>
      <xdr:row>6</xdr:row>
      <xdr:rowOff>0</xdr:rowOff>
    </xdr:to>
    <xdr:sp macro="[0]!addCellSoutenance" textlink="">
      <xdr:nvSpPr>
        <xdr:cNvPr id="2" name="Rectangle 1"/>
        <xdr:cNvSpPr/>
      </xdr:nvSpPr>
      <xdr:spPr>
        <a:xfrm>
          <a:off x="192768" y="1198335"/>
          <a:ext cx="1326696" cy="22089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Ajouter un critère</a:t>
          </a:r>
        </a:p>
      </xdr:txBody>
    </xdr:sp>
    <xdr:clientData/>
  </xdr:twoCellAnchor>
  <xdr:twoCellAnchor>
    <xdr:from>
      <xdr:col>0</xdr:col>
      <xdr:colOff>1819275</xdr:colOff>
      <xdr:row>4</xdr:row>
      <xdr:rowOff>231774</xdr:rowOff>
    </xdr:from>
    <xdr:to>
      <xdr:col>0</xdr:col>
      <xdr:colOff>3311071</xdr:colOff>
      <xdr:row>6</xdr:row>
      <xdr:rowOff>4989</xdr:rowOff>
    </xdr:to>
    <xdr:sp macro="[0]!deleteQ" textlink="">
      <xdr:nvSpPr>
        <xdr:cNvPr id="3" name="Rectangle 2"/>
        <xdr:cNvSpPr/>
      </xdr:nvSpPr>
      <xdr:spPr>
        <a:xfrm>
          <a:off x="1819275" y="1203324"/>
          <a:ext cx="1491796" cy="220890"/>
        </a:xfrm>
        <a:prstGeom prst="rect">
          <a:avLst/>
        </a:prstGeom>
        <a:solidFill>
          <a:srgbClr val="D7985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/>
            <a:t>Supprime un </a:t>
          </a:r>
          <a:r>
            <a:rPr lang="fr-F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critère</a:t>
          </a:r>
          <a:endParaRPr lang="fr-FR">
            <a:effectLst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247650</xdr:rowOff>
        </xdr:from>
        <xdr:to>
          <xdr:col>1</xdr:col>
          <xdr:colOff>847725</xdr:colOff>
          <xdr:row>6</xdr:row>
          <xdr:rowOff>466725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IDs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8</xdr:row>
      <xdr:rowOff>0</xdr:rowOff>
    </xdr:from>
    <xdr:to>
      <xdr:col>10</xdr:col>
      <xdr:colOff>0</xdr:colOff>
      <xdr:row>23</xdr:row>
      <xdr:rowOff>0</xdr:rowOff>
    </xdr:to>
    <xdr:graphicFrame macro="">
      <xdr:nvGraphicFramePr>
        <xdr:cNvPr id="210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G58"/>
  <sheetViews>
    <sheetView topLeftCell="A5" zoomScale="84" zoomScaleNormal="84" workbookViewId="0"/>
  </sheetViews>
  <sheetFormatPr defaultRowHeight="12.75" x14ac:dyDescent="0.2"/>
  <cols>
    <col min="1" max="1" width="109.7109375" customWidth="1"/>
    <col min="2" max="2" width="27" customWidth="1"/>
    <col min="3" max="3" width="13.28515625" customWidth="1"/>
    <col min="4" max="4" width="21.28515625" customWidth="1"/>
    <col min="5" max="5" width="15.28515625" customWidth="1"/>
  </cols>
  <sheetData>
    <row r="1" spans="1:7" ht="19.5" thickBot="1" x14ac:dyDescent="0.35">
      <c r="A1" s="69" t="s">
        <v>85</v>
      </c>
      <c r="B1" s="70"/>
      <c r="C1" s="70"/>
      <c r="D1" s="71"/>
      <c r="E1" s="72"/>
      <c r="F1" s="70"/>
      <c r="G1" s="70"/>
    </row>
    <row r="2" spans="1:7" ht="18.75" x14ac:dyDescent="0.3">
      <c r="A2" s="100"/>
      <c r="B2" s="70"/>
      <c r="C2" s="70"/>
      <c r="D2" s="71"/>
      <c r="E2" s="72"/>
      <c r="F2" s="70"/>
      <c r="G2" s="70"/>
    </row>
    <row r="3" spans="1:7" ht="18.75" x14ac:dyDescent="0.3">
      <c r="A3" s="103" t="s">
        <v>53</v>
      </c>
      <c r="B3" s="105" t="s">
        <v>22</v>
      </c>
      <c r="C3" s="70"/>
      <c r="D3" s="71"/>
      <c r="E3" s="72"/>
      <c r="F3" s="70"/>
      <c r="G3" s="70"/>
    </row>
    <row r="4" spans="1:7" ht="19.5" thickBot="1" x14ac:dyDescent="0.35">
      <c r="A4" s="104" t="s">
        <v>52</v>
      </c>
      <c r="B4" s="105">
        <v>104</v>
      </c>
      <c r="C4" s="70"/>
      <c r="D4" s="71"/>
      <c r="E4" s="72"/>
      <c r="F4" s="70"/>
      <c r="G4" s="70"/>
    </row>
    <row r="5" spans="1:7" ht="19.5" thickBot="1" x14ac:dyDescent="0.25">
      <c r="A5" s="70"/>
      <c r="B5" s="73" t="s">
        <v>36</v>
      </c>
      <c r="C5" s="74"/>
      <c r="D5" s="75"/>
      <c r="E5" s="96"/>
      <c r="F5" s="92"/>
      <c r="G5" s="93"/>
    </row>
    <row r="6" spans="1:7" ht="15.75" x14ac:dyDescent="0.2">
      <c r="A6" s="76"/>
      <c r="B6" s="107"/>
      <c r="C6" s="106" t="s">
        <v>35</v>
      </c>
      <c r="D6" s="77"/>
      <c r="E6" s="91"/>
      <c r="F6" s="76"/>
      <c r="G6" s="97"/>
    </row>
    <row r="7" spans="1:7" ht="15.75" x14ac:dyDescent="0.2">
      <c r="A7" s="78" t="s">
        <v>35</v>
      </c>
      <c r="B7" s="79" t="s">
        <v>37</v>
      </c>
      <c r="C7" s="80" t="s">
        <v>40</v>
      </c>
      <c r="D7" s="81"/>
      <c r="E7" s="82"/>
      <c r="F7" s="76"/>
      <c r="G7" s="76" t="s">
        <v>35</v>
      </c>
    </row>
    <row r="8" spans="1:7" ht="23.25" customHeight="1" x14ac:dyDescent="0.2">
      <c r="A8" s="83" t="s">
        <v>41</v>
      </c>
      <c r="B8" s="86"/>
      <c r="C8" s="84"/>
      <c r="D8" s="77"/>
      <c r="E8" s="85"/>
      <c r="F8" s="76"/>
      <c r="G8" s="76" t="s">
        <v>35</v>
      </c>
    </row>
    <row r="9" spans="1:7" ht="23.25" customHeight="1" x14ac:dyDescent="0.25">
      <c r="A9" s="87" t="s">
        <v>38</v>
      </c>
      <c r="B9" s="95">
        <v>2</v>
      </c>
      <c r="C9" s="94">
        <v>12</v>
      </c>
      <c r="D9" s="77"/>
      <c r="E9" s="91"/>
      <c r="F9" s="76"/>
      <c r="G9" s="76"/>
    </row>
    <row r="10" spans="1:7" ht="15.75" x14ac:dyDescent="0.25">
      <c r="A10" s="87" t="s">
        <v>63</v>
      </c>
      <c r="B10" s="95">
        <v>9</v>
      </c>
      <c r="C10" s="94">
        <v>10</v>
      </c>
      <c r="D10" s="77"/>
      <c r="E10" s="91"/>
      <c r="F10" s="76"/>
      <c r="G10" s="76"/>
    </row>
    <row r="11" spans="1:7" ht="15.75" x14ac:dyDescent="0.25">
      <c r="A11" s="87" t="s">
        <v>59</v>
      </c>
      <c r="B11" s="95">
        <v>6</v>
      </c>
      <c r="C11" s="94">
        <v>10</v>
      </c>
      <c r="D11" s="77"/>
      <c r="E11" s="91"/>
      <c r="F11" s="76"/>
      <c r="G11" s="76"/>
    </row>
    <row r="12" spans="1:7" ht="15.75" x14ac:dyDescent="0.25">
      <c r="A12" s="87" t="s">
        <v>57</v>
      </c>
      <c r="B12" s="95">
        <v>10</v>
      </c>
      <c r="C12" s="94">
        <v>11</v>
      </c>
      <c r="D12" s="77"/>
      <c r="E12" s="91"/>
      <c r="F12" s="76"/>
      <c r="G12" s="76"/>
    </row>
    <row r="13" spans="1:7" ht="15.75" x14ac:dyDescent="0.25">
      <c r="A13" s="87" t="s">
        <v>62</v>
      </c>
      <c r="B13" s="95">
        <v>20</v>
      </c>
      <c r="C13" s="94">
        <v>20</v>
      </c>
      <c r="D13" s="77"/>
      <c r="E13" s="91"/>
      <c r="F13" s="76"/>
      <c r="G13" s="76"/>
    </row>
    <row r="19" spans="1:3" ht="15.75" x14ac:dyDescent="0.25">
      <c r="A19" s="98" t="s">
        <v>42</v>
      </c>
      <c r="B19">
        <f>SUM(B9:B18)</f>
        <v>47</v>
      </c>
      <c r="C19" s="99">
        <f>SUM(C9:C18)</f>
        <v>63</v>
      </c>
    </row>
    <row r="20" spans="1:3" ht="15.75" x14ac:dyDescent="0.25">
      <c r="A20" s="98" t="s">
        <v>43</v>
      </c>
      <c r="C20">
        <f>B19/C19</f>
        <v>0.74603174603174605</v>
      </c>
    </row>
    <row r="21" spans="1:3" ht="15.75" x14ac:dyDescent="0.25">
      <c r="A21" s="98" t="s">
        <v>44</v>
      </c>
      <c r="C21" s="108">
        <f>C20*20</f>
        <v>14.920634920634921</v>
      </c>
    </row>
    <row r="58" spans="3:3" x14ac:dyDescent="0.2">
      <c r="C58" t="s">
        <v>39</v>
      </c>
    </row>
  </sheetData>
  <dataValidations count="1">
    <dataValidation showInputMessage="1" showErrorMessage="1" sqref="B9:B13"/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0C5BB61E-8234-4A59-9552-B38EA641F3FC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 gte="0">
                <xm:f>$C$9</xm:f>
              </x14:cfvo>
              <x14:cfIcon iconSet="3Symbols" iconId="0"/>
              <x14:cfIcon iconSet="3Symbols" iconId="2"/>
              <x14:cfIcon iconSet="3Symbols" iconId="0"/>
            </x14:iconSet>
          </x14:cfRule>
          <xm:sqref>B9:B13</xm:sqref>
        </x14:conditionalFormatting>
        <x14:conditionalFormatting xmlns:xm="http://schemas.microsoft.com/office/excel/2006/main">
          <x14:cfRule type="iconSet" priority="4" id="{01E05964-316E-40E4-964D-1EE7B608511D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 gte="0">
                <xm:f>$C$10</xm:f>
              </x14:cfvo>
              <x14:cfIcon iconSet="3Symbols" iconId="0"/>
              <x14:cfIcon iconSet="3Symbols" iconId="2"/>
              <x14:cfIcon iconSet="3Symbols" iconId="0"/>
            </x14:iconSet>
          </x14:cfRule>
          <xm:sqref>B10:B13</xm:sqref>
        </x14:conditionalFormatting>
        <x14:conditionalFormatting xmlns:xm="http://schemas.microsoft.com/office/excel/2006/main">
          <x14:cfRule type="iconSet" priority="3" id="{92D70110-3B4C-4CBD-98E9-8C6E0AF7683A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 gte="0">
                <xm:f>$C$11</xm:f>
              </x14:cfvo>
              <x14:cfIcon iconSet="3Symbols" iconId="0"/>
              <x14:cfIcon iconSet="3Symbols" iconId="2"/>
              <x14:cfIcon iconSet="3Symbols" iconId="0"/>
            </x14:iconSet>
          </x14:cfRule>
          <xm:sqref>B11:B13</xm:sqref>
        </x14:conditionalFormatting>
        <x14:conditionalFormatting xmlns:xm="http://schemas.microsoft.com/office/excel/2006/main">
          <x14:cfRule type="iconSet" priority="2" id="{CFDFF319-29F6-4E72-B02B-D4BED9040EE6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 gte="0">
                <xm:f>$C$13</xm:f>
              </x14:cfvo>
              <x14:cfIcon iconSet="3Symbols" iconId="0"/>
              <x14:cfIcon iconSet="3Symbols" iconId="2"/>
              <x14:cfIcon iconSet="3Symbols" iconId="0"/>
            </x14:iconSet>
          </x14:cfRule>
          <xm:sqref>B13</xm:sqref>
        </x14:conditionalFormatting>
        <x14:conditionalFormatting xmlns:xm="http://schemas.microsoft.com/office/excel/2006/main">
          <x14:cfRule type="iconSet" priority="1" id="{80EC551D-8320-45F4-A43C-25972E29A008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 gte="0">
                <xm:f>$C$12</xm:f>
              </x14:cfvo>
              <x14:cfIcon iconSet="3Symbols" iconId="0"/>
              <x14:cfIcon iconSet="3Symbols" iconId="2"/>
              <x14:cfIcon iconSet="3Symbols" iconId="0"/>
            </x14:iconSet>
          </x14:cfRule>
          <xm:sqref>B12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Binomes!$C$10:$C$29</xm:f>
          </x14:formula1>
          <xm:sqref>B4</xm:sqref>
        </x14:dataValidation>
        <x14:dataValidation type="list" allowBlank="1" showInputMessage="1" showErrorMessage="1">
          <x14:formula1>
            <xm:f>Binomes!$B$10:$B$29</xm:f>
          </x14:formula1>
          <xm:sqref>B3</xm:sqref>
        </x14:dataValidation>
        <x14:dataValidation type="list" allowBlank="1" showInputMessage="1" showErrorMessage="1">
          <x14:formula1>
            <xm:f>Questions!$B$10:$B$56</xm:f>
          </x14:formula1>
          <xm:sqref>A9:A11 A13</xm:sqref>
        </x14:dataValidation>
        <x14:dataValidation type="list" allowBlank="1" showInputMessage="1" showErrorMessage="1">
          <x14:formula1>
            <xm:f>Questions!$B$10:$B$56</xm:f>
          </x14:formula1>
          <xm:sqref>A12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20"/>
  <sheetViews>
    <sheetView workbookViewId="0"/>
  </sheetViews>
  <sheetFormatPr defaultRowHeight="12.75" x14ac:dyDescent="0.2"/>
  <cols>
    <col min="1" max="1" width="101.140625" customWidth="1"/>
    <col min="2" max="2" width="32" customWidth="1"/>
    <col min="4" max="4" width="95" customWidth="1"/>
  </cols>
  <sheetData>
    <row r="1" spans="1:4" ht="19.5" thickBot="1" x14ac:dyDescent="0.35">
      <c r="A1" s="69" t="s">
        <v>84</v>
      </c>
      <c r="B1" s="70"/>
      <c r="C1" s="70"/>
      <c r="D1" s="71"/>
    </row>
    <row r="2" spans="1:4" ht="18.75" x14ac:dyDescent="0.3">
      <c r="A2" s="100"/>
      <c r="B2" s="70"/>
      <c r="C2" s="70"/>
      <c r="D2" s="71"/>
    </row>
    <row r="3" spans="1:4" ht="18.75" x14ac:dyDescent="0.3">
      <c r="A3" s="103" t="s">
        <v>53</v>
      </c>
      <c r="B3" s="105" t="s">
        <v>22</v>
      </c>
      <c r="C3" s="70"/>
      <c r="D3" s="71"/>
    </row>
    <row r="4" spans="1:4" ht="19.5" thickBot="1" x14ac:dyDescent="0.35">
      <c r="A4" s="104" t="s">
        <v>52</v>
      </c>
      <c r="B4" s="105">
        <v>104</v>
      </c>
      <c r="C4" s="70"/>
      <c r="D4" s="71"/>
    </row>
    <row r="5" spans="1:4" ht="20.25" customHeight="1" thickBot="1" x14ac:dyDescent="0.25">
      <c r="A5" s="70"/>
      <c r="B5" s="73" t="s">
        <v>48</v>
      </c>
      <c r="C5" s="74"/>
      <c r="D5" s="75"/>
    </row>
    <row r="6" spans="1:4" ht="15.75" x14ac:dyDescent="0.2">
      <c r="A6" s="76"/>
      <c r="B6" s="107"/>
      <c r="C6" s="106" t="s">
        <v>35</v>
      </c>
      <c r="D6" s="77"/>
    </row>
    <row r="7" spans="1:4" ht="15" x14ac:dyDescent="0.2">
      <c r="A7" s="78" t="s">
        <v>35</v>
      </c>
      <c r="B7" s="79" t="s">
        <v>37</v>
      </c>
      <c r="C7" s="80" t="s">
        <v>40</v>
      </c>
      <c r="D7" s="81"/>
    </row>
    <row r="8" spans="1:4" ht="15.75" x14ac:dyDescent="0.2">
      <c r="A8" s="83" t="s">
        <v>41</v>
      </c>
      <c r="B8" s="86"/>
      <c r="C8" s="84"/>
      <c r="D8" s="77"/>
    </row>
    <row r="9" spans="1:4" ht="16.5" thickBot="1" x14ac:dyDescent="0.25">
      <c r="A9" s="88" t="s">
        <v>64</v>
      </c>
      <c r="B9" s="89">
        <v>5</v>
      </c>
      <c r="C9" s="90">
        <v>5</v>
      </c>
      <c r="D9" s="77"/>
    </row>
    <row r="10" spans="1:4" ht="15.75" x14ac:dyDescent="0.2">
      <c r="A10" s="109" t="s">
        <v>46</v>
      </c>
      <c r="B10" s="95">
        <v>10</v>
      </c>
      <c r="C10" s="94">
        <v>11</v>
      </c>
      <c r="D10" s="77"/>
    </row>
    <row r="11" spans="1:4" ht="15.75" x14ac:dyDescent="0.2">
      <c r="A11" s="109" t="s">
        <v>47</v>
      </c>
      <c r="B11" s="95">
        <v>9</v>
      </c>
      <c r="C11" s="94">
        <v>10</v>
      </c>
      <c r="D11" s="77"/>
    </row>
    <row r="12" spans="1:4" ht="15.75" x14ac:dyDescent="0.2">
      <c r="A12" s="109" t="s">
        <v>49</v>
      </c>
      <c r="B12" s="95">
        <v>5</v>
      </c>
      <c r="C12" s="94">
        <v>5</v>
      </c>
      <c r="D12" s="77"/>
    </row>
    <row r="18" spans="1:3" ht="15.75" x14ac:dyDescent="0.25">
      <c r="A18" s="98" t="s">
        <v>42</v>
      </c>
      <c r="B18">
        <f>SUM(B9:B17)</f>
        <v>29</v>
      </c>
      <c r="C18" s="99">
        <f>SUM(C9:C17)</f>
        <v>31</v>
      </c>
    </row>
    <row r="19" spans="1:3" ht="15.75" x14ac:dyDescent="0.25">
      <c r="A19" s="98" t="s">
        <v>43</v>
      </c>
      <c r="C19">
        <f>B18/C18</f>
        <v>0.93548387096774188</v>
      </c>
    </row>
    <row r="20" spans="1:3" ht="15.75" x14ac:dyDescent="0.25">
      <c r="A20" s="98" t="s">
        <v>44</v>
      </c>
      <c r="C20" s="108">
        <f>C19*20</f>
        <v>18.709677419354836</v>
      </c>
    </row>
  </sheetData>
  <dataValidations count="1">
    <dataValidation showInputMessage="1" showErrorMessage="1" sqref="B9:B12"/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5D8A8EA9-DA55-4D91-A3EF-760DF0663A19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 gte="0">
                <xm:f>$C$10</xm:f>
              </x14:cfvo>
              <x14:cfIcon iconSet="3Symbols" iconId="0"/>
              <x14:cfIcon iconSet="3Symbols" iconId="2"/>
              <x14:cfIcon iconSet="3Symbols" iconId="0"/>
            </x14:iconSet>
          </x14:cfRule>
          <xm:sqref>B10:B12</xm:sqref>
        </x14:conditionalFormatting>
        <x14:conditionalFormatting xmlns:xm="http://schemas.microsoft.com/office/excel/2006/main">
          <x14:cfRule type="iconSet" priority="2" id="{6FBB1A41-2B3D-4B45-B2D0-7BA9E557B4E3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 gte="0">
                <xm:f>$C$11</xm:f>
              </x14:cfvo>
              <x14:cfIcon iconSet="3Symbols" iconId="0"/>
              <x14:cfIcon iconSet="3Symbols" iconId="2"/>
              <x14:cfIcon iconSet="3Symbols" iconId="0"/>
            </x14:iconSet>
          </x14:cfRule>
          <xm:sqref>B11:B12</xm:sqref>
        </x14:conditionalFormatting>
        <x14:conditionalFormatting xmlns:xm="http://schemas.microsoft.com/office/excel/2006/main">
          <x14:cfRule type="iconSet" priority="1" id="{93029215-D13F-403F-8897-D62B29836A16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 gte="0">
                <xm:f>$C$12</xm:f>
              </x14:cfvo>
              <x14:cfIcon iconSet="3Symbols" iconId="0"/>
              <x14:cfIcon iconSet="3Symbols" iconId="2"/>
              <x14:cfIcon iconSet="3Symbols" iconId="0"/>
            </x14:iconSet>
          </x14:cfRule>
          <xm:sqref>B12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Binomes!$B$10:$B$29</xm:f>
          </x14:formula1>
          <xm:sqref>B3</xm:sqref>
        </x14:dataValidation>
        <x14:dataValidation type="list" allowBlank="1" showInputMessage="1" showErrorMessage="1">
          <x14:formula1>
            <xm:f>Binomes!$C$10:$C$29</xm:f>
          </x14:formula1>
          <xm:sqref>B4</xm:sqref>
        </x14:dataValidation>
        <x14:dataValidation type="list" allowBlank="1" showInputMessage="1" showErrorMessage="1">
          <x14:formula1>
            <xm:f>Questions!$B$10:$B$56</xm:f>
          </x14:formula1>
          <xm:sqref>A10:A11</xm:sqref>
        </x14:dataValidation>
        <x14:dataValidation type="list" allowBlank="1" showInputMessage="1" showErrorMessage="1">
          <x14:formula1>
            <xm:f>Questions!$B$10:$B$56</xm:f>
          </x14:formula1>
          <xm:sqref>A12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7"/>
  <sheetViews>
    <sheetView workbookViewId="0"/>
  </sheetViews>
  <sheetFormatPr defaultRowHeight="12.75" x14ac:dyDescent="0.2"/>
  <cols>
    <col min="1" max="1" width="102.140625" customWidth="1"/>
    <col min="2" max="2" width="28" customWidth="1"/>
  </cols>
  <sheetData>
    <row r="1" spans="1:4" ht="19.5" thickBot="1" x14ac:dyDescent="0.35">
      <c r="A1" s="69" t="s">
        <v>86</v>
      </c>
      <c r="B1" s="70"/>
      <c r="C1" s="70"/>
      <c r="D1" s="71"/>
    </row>
    <row r="2" spans="1:4" ht="18.75" x14ac:dyDescent="0.3">
      <c r="A2" s="100"/>
      <c r="B2" s="70"/>
      <c r="C2" s="70"/>
      <c r="D2" s="71"/>
    </row>
    <row r="3" spans="1:4" ht="18.75" x14ac:dyDescent="0.3">
      <c r="A3" s="103" t="s">
        <v>53</v>
      </c>
      <c r="B3" s="105" t="s">
        <v>22</v>
      </c>
      <c r="C3" s="70"/>
      <c r="D3" s="71"/>
    </row>
    <row r="4" spans="1:4" ht="27" customHeight="1" thickBot="1" x14ac:dyDescent="0.35">
      <c r="A4" s="104" t="s">
        <v>52</v>
      </c>
      <c r="B4" s="105">
        <v>104</v>
      </c>
      <c r="C4" s="70"/>
      <c r="D4" s="71"/>
    </row>
    <row r="5" spans="1:4" ht="24.75" customHeight="1" thickBot="1" x14ac:dyDescent="0.25">
      <c r="A5" s="70"/>
      <c r="B5" s="73" t="s">
        <v>26</v>
      </c>
      <c r="C5" s="74"/>
      <c r="D5" s="75"/>
    </row>
    <row r="6" spans="1:4" ht="15.75" x14ac:dyDescent="0.2">
      <c r="A6" s="76"/>
      <c r="B6" s="107"/>
      <c r="C6" s="106" t="s">
        <v>35</v>
      </c>
      <c r="D6" s="77"/>
    </row>
    <row r="7" spans="1:4" ht="15" x14ac:dyDescent="0.2">
      <c r="A7" s="78" t="s">
        <v>35</v>
      </c>
      <c r="B7" s="79" t="s">
        <v>37</v>
      </c>
      <c r="C7" s="80" t="s">
        <v>40</v>
      </c>
      <c r="D7" s="81"/>
    </row>
    <row r="8" spans="1:4" ht="15.75" x14ac:dyDescent="0.2">
      <c r="A8" s="83" t="s">
        <v>41</v>
      </c>
      <c r="B8" s="86"/>
      <c r="C8" s="84"/>
      <c r="D8" s="77"/>
    </row>
    <row r="9" spans="1:4" ht="15.75" x14ac:dyDescent="0.2">
      <c r="A9" s="109" t="s">
        <v>46</v>
      </c>
      <c r="B9" s="95">
        <v>6</v>
      </c>
      <c r="C9" s="94">
        <v>9</v>
      </c>
      <c r="D9" s="77"/>
    </row>
    <row r="10" spans="1:4" ht="15.75" x14ac:dyDescent="0.2">
      <c r="A10" s="109" t="s">
        <v>50</v>
      </c>
      <c r="B10" s="95">
        <v>10</v>
      </c>
      <c r="C10" s="94">
        <v>10</v>
      </c>
      <c r="D10" s="77"/>
    </row>
    <row r="11" spans="1:4" ht="15.75" x14ac:dyDescent="0.2">
      <c r="A11" s="109" t="s">
        <v>51</v>
      </c>
      <c r="B11" s="95">
        <v>7</v>
      </c>
      <c r="C11" s="94">
        <v>8</v>
      </c>
      <c r="D11" s="77"/>
    </row>
    <row r="15" spans="1:4" ht="15.75" x14ac:dyDescent="0.25">
      <c r="A15" s="98" t="s">
        <v>42</v>
      </c>
      <c r="B15">
        <f>SUM(B9:B14)</f>
        <v>23</v>
      </c>
      <c r="C15" s="99">
        <f>SUM(C9:C14)</f>
        <v>27</v>
      </c>
    </row>
    <row r="16" spans="1:4" ht="15.75" x14ac:dyDescent="0.25">
      <c r="A16" s="98" t="s">
        <v>43</v>
      </c>
      <c r="C16">
        <f>B15/C15</f>
        <v>0.85185185185185186</v>
      </c>
    </row>
    <row r="17" spans="1:3" ht="15.75" x14ac:dyDescent="0.25">
      <c r="A17" s="98" t="s">
        <v>44</v>
      </c>
      <c r="C17" s="108">
        <f>C16*20</f>
        <v>17.037037037037038</v>
      </c>
    </row>
  </sheetData>
  <dataValidations count="1">
    <dataValidation showInputMessage="1" showErrorMessage="1" sqref="B9:B11"/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D2019DF9-4ACD-4682-8FEA-986125CC8FBF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 gte="0">
                <xm:f>$C$9</xm:f>
              </x14:cfvo>
              <x14:cfIcon iconSet="3Symbols" iconId="0"/>
              <x14:cfIcon iconSet="3Symbols" iconId="2"/>
              <x14:cfIcon iconSet="3Symbols" iconId="0"/>
            </x14:iconSet>
          </x14:cfRule>
          <xm:sqref>B9:B11</xm:sqref>
        </x14:conditionalFormatting>
        <x14:conditionalFormatting xmlns:xm="http://schemas.microsoft.com/office/excel/2006/main">
          <x14:cfRule type="iconSet" priority="2" id="{24C662C6-5F03-45F2-8936-1632ABB995AF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 gte="0">
                <xm:f>$C$11</xm:f>
              </x14:cfvo>
              <x14:cfIcon iconSet="3Symbols" iconId="0"/>
              <x14:cfIcon iconSet="3Symbols" iconId="2"/>
              <x14:cfIcon iconSet="3Symbols" iconId="0"/>
            </x14:iconSet>
          </x14:cfRule>
          <xm:sqref>B11</xm:sqref>
        </x14:conditionalFormatting>
        <x14:conditionalFormatting xmlns:xm="http://schemas.microsoft.com/office/excel/2006/main">
          <x14:cfRule type="iconSet" priority="1" id="{7E5AB7BD-54FC-40EE-ABF3-BDC155549A9D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 gte="0">
                <xm:f>$C$10</xm:f>
              </x14:cfvo>
              <x14:cfIcon iconSet="3Symbols" iconId="0"/>
              <x14:cfIcon iconSet="3Symbols" iconId="2"/>
              <x14:cfIcon iconSet="3Symbols" iconId="0"/>
            </x14:iconSet>
          </x14:cfRule>
          <xm:sqref>B10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Binomes!$B$10:$B$29</xm:f>
          </x14:formula1>
          <xm:sqref>B3</xm:sqref>
        </x14:dataValidation>
        <x14:dataValidation type="list" allowBlank="1" showInputMessage="1" showErrorMessage="1">
          <x14:formula1>
            <xm:f>Binomes!$C$10:$C$29</xm:f>
          </x14:formula1>
          <xm:sqref>B4</xm:sqref>
        </x14:dataValidation>
        <x14:dataValidation type="list" allowBlank="1" showInputMessage="1" showErrorMessage="1">
          <x14:formula1>
            <xm:f>Questions!$B$10:$B$56</xm:f>
          </x14:formula1>
          <xm:sqref>A9 A11</xm:sqref>
        </x14:dataValidation>
        <x14:dataValidation type="list" allowBlank="1" showInputMessage="1" showErrorMessage="1">
          <x14:formula1>
            <xm:f>Questions!$B$10:$B$56</xm:f>
          </x14:formula1>
          <xm:sqref>A10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9"/>
  <sheetViews>
    <sheetView workbookViewId="0">
      <selection activeCell="B12" sqref="B12"/>
    </sheetView>
  </sheetViews>
  <sheetFormatPr defaultRowHeight="12.75" x14ac:dyDescent="0.2"/>
  <cols>
    <col min="1" max="1" width="79.140625" customWidth="1"/>
    <col min="2" max="2" width="29.7109375" customWidth="1"/>
    <col min="3" max="3" width="14.7109375" customWidth="1"/>
  </cols>
  <sheetData>
    <row r="1" spans="1:4" ht="19.5" thickBot="1" x14ac:dyDescent="0.35">
      <c r="A1" s="69" t="s">
        <v>87</v>
      </c>
      <c r="B1" s="70"/>
      <c r="C1" s="70"/>
      <c r="D1" s="71"/>
    </row>
    <row r="2" spans="1:4" ht="18.75" x14ac:dyDescent="0.3">
      <c r="A2" s="100"/>
      <c r="B2" s="70"/>
      <c r="C2" s="70"/>
      <c r="D2" s="71"/>
    </row>
    <row r="3" spans="1:4" ht="18.75" x14ac:dyDescent="0.3">
      <c r="A3" s="103" t="s">
        <v>53</v>
      </c>
      <c r="B3" s="105" t="s">
        <v>22</v>
      </c>
      <c r="C3" s="70"/>
      <c r="D3" s="71"/>
    </row>
    <row r="4" spans="1:4" ht="19.5" customHeight="1" thickBot="1" x14ac:dyDescent="0.35">
      <c r="A4" s="104" t="s">
        <v>52</v>
      </c>
      <c r="B4" s="105">
        <v>104</v>
      </c>
      <c r="C4" s="70"/>
      <c r="D4" s="71"/>
    </row>
    <row r="5" spans="1:4" ht="18" customHeight="1" thickBot="1" x14ac:dyDescent="0.25">
      <c r="A5" s="70"/>
      <c r="B5" s="73" t="s">
        <v>27</v>
      </c>
      <c r="C5" s="74"/>
      <c r="D5" s="75"/>
    </row>
    <row r="6" spans="1:4" ht="21" customHeight="1" x14ac:dyDescent="0.2">
      <c r="A6" s="76"/>
      <c r="B6" s="107"/>
      <c r="C6" s="106" t="s">
        <v>35</v>
      </c>
      <c r="D6" s="77"/>
    </row>
    <row r="7" spans="1:4" ht="15" x14ac:dyDescent="0.2">
      <c r="A7" s="78" t="s">
        <v>35</v>
      </c>
      <c r="B7" s="79" t="s">
        <v>37</v>
      </c>
      <c r="C7" s="80" t="s">
        <v>40</v>
      </c>
      <c r="D7" s="81"/>
    </row>
    <row r="8" spans="1:4" ht="15.75" x14ac:dyDescent="0.2">
      <c r="A8" s="83" t="s">
        <v>41</v>
      </c>
      <c r="B8" s="86"/>
      <c r="C8" s="84"/>
      <c r="D8" s="77"/>
    </row>
    <row r="9" spans="1:4" ht="15.75" x14ac:dyDescent="0.2">
      <c r="A9" s="109" t="s">
        <v>61</v>
      </c>
      <c r="B9" s="95">
        <v>10</v>
      </c>
      <c r="C9" s="94">
        <v>10</v>
      </c>
      <c r="D9" s="77"/>
    </row>
    <row r="10" spans="1:4" ht="15.75" x14ac:dyDescent="0.2">
      <c r="A10" s="109" t="s">
        <v>58</v>
      </c>
      <c r="B10" s="95">
        <v>3</v>
      </c>
      <c r="C10" s="94">
        <v>10</v>
      </c>
      <c r="D10" s="77"/>
    </row>
    <row r="11" spans="1:4" ht="15.75" x14ac:dyDescent="0.2">
      <c r="A11" s="109" t="s">
        <v>47</v>
      </c>
      <c r="B11" s="95">
        <v>16</v>
      </c>
      <c r="C11" s="94">
        <v>20</v>
      </c>
      <c r="D11" s="77"/>
    </row>
    <row r="17" spans="1:3" ht="15.75" x14ac:dyDescent="0.25">
      <c r="A17" s="98" t="s">
        <v>42</v>
      </c>
      <c r="B17">
        <f>SUM(B9:B16)</f>
        <v>29</v>
      </c>
      <c r="C17" s="99">
        <f>SUM(C9:C16)</f>
        <v>40</v>
      </c>
    </row>
    <row r="18" spans="1:3" ht="15.75" x14ac:dyDescent="0.25">
      <c r="A18" s="98" t="s">
        <v>43</v>
      </c>
      <c r="C18">
        <f>B17/C17</f>
        <v>0.72499999999999998</v>
      </c>
    </row>
    <row r="19" spans="1:3" ht="15.75" x14ac:dyDescent="0.25">
      <c r="A19" s="98" t="s">
        <v>44</v>
      </c>
      <c r="C19" s="108">
        <f>C18*20</f>
        <v>14.5</v>
      </c>
    </row>
  </sheetData>
  <dataValidations count="1">
    <dataValidation showInputMessage="1" showErrorMessage="1" sqref="B9:B11"/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F59562E5-C0B5-4CE9-B217-18BD4B396AE2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 gte="0">
                <xm:f>$C$9</xm:f>
              </x14:cfvo>
              <x14:cfIcon iconSet="3Symbols" iconId="0"/>
              <x14:cfIcon iconSet="3Symbols" iconId="2"/>
              <x14:cfIcon iconSet="3Symbols" iconId="0"/>
            </x14:iconSet>
          </x14:cfRule>
          <xm:sqref>B9:B11</xm:sqref>
        </x14:conditionalFormatting>
        <x14:conditionalFormatting xmlns:xm="http://schemas.microsoft.com/office/excel/2006/main">
          <x14:cfRule type="iconSet" priority="2" id="{133FB578-405D-47F4-AE65-01DCC0FCC9C8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 gte="0">
                <xm:f>$C$10</xm:f>
              </x14:cfvo>
              <x14:cfIcon iconSet="3Symbols" iconId="0"/>
              <x14:cfIcon iconSet="3Symbols" iconId="2"/>
              <x14:cfIcon iconSet="3Symbols" iconId="0"/>
            </x14:iconSet>
          </x14:cfRule>
          <xm:sqref>B10:B11</xm:sqref>
        </x14:conditionalFormatting>
        <x14:conditionalFormatting xmlns:xm="http://schemas.microsoft.com/office/excel/2006/main">
          <x14:cfRule type="iconSet" priority="1" id="{497EA353-1DA4-4958-A0D4-97F4E9BA901A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 gte="0">
                <xm:f>$C$11</xm:f>
              </x14:cfvo>
              <x14:cfIcon iconSet="3Symbols" iconId="0"/>
              <x14:cfIcon iconSet="3Symbols" iconId="2"/>
              <x14:cfIcon iconSet="3Symbols" iconId="0"/>
            </x14:iconSet>
          </x14:cfRule>
          <xm:sqref>B11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Binomes!$B$10:$B$29</xm:f>
          </x14:formula1>
          <xm:sqref>B3</xm:sqref>
        </x14:dataValidation>
        <x14:dataValidation type="list" allowBlank="1" showInputMessage="1" showErrorMessage="1">
          <x14:formula1>
            <xm:f>Binomes!$C$10:$C$29</xm:f>
          </x14:formula1>
          <xm:sqref>B4</xm:sqref>
        </x14:dataValidation>
        <x14:dataValidation type="list" allowBlank="1" showInputMessage="1" showErrorMessage="1">
          <x14:formula1>
            <xm:f>Questions!$B$10:$B$56</xm:f>
          </x14:formula1>
          <xm:sqref>A9:A10 A11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V45"/>
  <sheetViews>
    <sheetView showGridLines="0" workbookViewId="0">
      <selection activeCell="E15" sqref="E15"/>
    </sheetView>
  </sheetViews>
  <sheetFormatPr defaultRowHeight="12.75" x14ac:dyDescent="0.2"/>
  <cols>
    <col min="1" max="1" width="3.28515625" style="3" customWidth="1"/>
    <col min="2" max="2" width="18.140625" style="3" customWidth="1"/>
    <col min="3" max="17" width="6.5703125" style="3" customWidth="1"/>
    <col min="18" max="18" width="8.42578125" style="3" customWidth="1"/>
    <col min="19" max="19" width="7.42578125" style="3" customWidth="1"/>
    <col min="20" max="20" width="9.140625" style="3"/>
    <col min="21" max="21" width="5.28515625" style="3" customWidth="1"/>
    <col min="22" max="22" width="16.7109375" style="3" customWidth="1"/>
    <col min="23" max="16384" width="9.140625" style="3"/>
  </cols>
  <sheetData>
    <row r="1" spans="1:22" s="1" customFormat="1" ht="26.25" customHeight="1" x14ac:dyDescent="0.2">
      <c r="A1" s="6" t="s">
        <v>68</v>
      </c>
      <c r="B1" s="6"/>
      <c r="C1" s="7"/>
      <c r="D1" s="7"/>
      <c r="E1" s="7"/>
      <c r="F1" s="4"/>
      <c r="G1" s="4"/>
      <c r="H1" s="4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V1" s="29"/>
    </row>
    <row r="2" spans="1:22" ht="15" x14ac:dyDescent="0.25">
      <c r="A2" s="2"/>
      <c r="B2" s="19" t="s">
        <v>30</v>
      </c>
      <c r="F2" s="4"/>
      <c r="G2" s="4"/>
      <c r="H2" s="4"/>
      <c r="Q2" s="39" t="s">
        <v>17</v>
      </c>
      <c r="V2" s="30"/>
    </row>
    <row r="3" spans="1:22" ht="14.25" x14ac:dyDescent="0.2">
      <c r="A3" s="2"/>
      <c r="B3" s="18" t="s">
        <v>31</v>
      </c>
      <c r="C3" s="7"/>
      <c r="D3" s="7"/>
      <c r="E3" s="7"/>
      <c r="F3" s="4"/>
      <c r="G3" s="4"/>
      <c r="H3" s="4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V3" s="52"/>
    </row>
    <row r="4" spans="1:22" ht="14.25" x14ac:dyDescent="0.2">
      <c r="A4" s="2"/>
      <c r="B4" s="18" t="s">
        <v>55</v>
      </c>
      <c r="F4" s="4"/>
      <c r="G4" s="4"/>
      <c r="H4" s="4"/>
    </row>
    <row r="5" spans="1:22" x14ac:dyDescent="0.2"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</row>
    <row r="6" spans="1:22" ht="15" x14ac:dyDescent="0.25">
      <c r="A6" s="4"/>
      <c r="B6" s="4"/>
      <c r="C6" s="8" t="s">
        <v>83</v>
      </c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4"/>
    </row>
    <row r="7" spans="1:22" ht="51.75" customHeight="1" x14ac:dyDescent="0.2">
      <c r="A7" s="4"/>
      <c r="B7" s="4"/>
      <c r="C7" s="67" t="s">
        <v>24</v>
      </c>
      <c r="D7" s="67" t="s">
        <v>25</v>
      </c>
      <c r="E7" s="67" t="s">
        <v>26</v>
      </c>
      <c r="F7" s="67" t="s">
        <v>27</v>
      </c>
      <c r="G7" s="67" t="s">
        <v>28</v>
      </c>
      <c r="H7" s="67" t="s">
        <v>28</v>
      </c>
      <c r="I7" s="67" t="s">
        <v>28</v>
      </c>
      <c r="J7" s="67" t="s">
        <v>28</v>
      </c>
      <c r="K7" s="67" t="s">
        <v>28</v>
      </c>
      <c r="L7" s="67" t="s">
        <v>28</v>
      </c>
      <c r="M7" s="67" t="s">
        <v>28</v>
      </c>
      <c r="N7" s="67" t="s">
        <v>28</v>
      </c>
      <c r="O7" s="67" t="s">
        <v>28</v>
      </c>
      <c r="P7" s="67" t="s">
        <v>28</v>
      </c>
      <c r="Q7" s="67" t="s">
        <v>28</v>
      </c>
      <c r="R7" s="4"/>
    </row>
    <row r="8" spans="1:22" x14ac:dyDescent="0.2">
      <c r="A8" s="4"/>
      <c r="B8" s="31" t="s">
        <v>54</v>
      </c>
      <c r="C8" s="27">
        <v>100</v>
      </c>
      <c r="D8" s="27">
        <v>60</v>
      </c>
      <c r="E8" s="27">
        <v>50</v>
      </c>
      <c r="F8" s="27">
        <v>50</v>
      </c>
      <c r="G8" s="27">
        <v>0</v>
      </c>
      <c r="H8" s="27">
        <v>0</v>
      </c>
      <c r="I8" s="27">
        <v>0</v>
      </c>
      <c r="J8" s="27">
        <v>0</v>
      </c>
      <c r="K8" s="27">
        <v>0</v>
      </c>
      <c r="L8" s="27">
        <v>0</v>
      </c>
      <c r="M8" s="27">
        <v>0</v>
      </c>
      <c r="N8" s="27">
        <v>0</v>
      </c>
      <c r="O8" s="27">
        <v>0</v>
      </c>
      <c r="P8" s="27">
        <v>0</v>
      </c>
      <c r="Q8" s="27">
        <v>0</v>
      </c>
      <c r="R8" s="66" t="s">
        <v>23</v>
      </c>
      <c r="S8" s="64">
        <v>0</v>
      </c>
    </row>
    <row r="9" spans="1:22" ht="5.25" customHeight="1" x14ac:dyDescent="0.2"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</row>
    <row r="10" spans="1:22" ht="15" x14ac:dyDescent="0.25">
      <c r="B10" s="19" t="s">
        <v>29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R10" s="13" t="s">
        <v>0</v>
      </c>
      <c r="S10" s="13" t="s">
        <v>1</v>
      </c>
      <c r="T10" s="13" t="s">
        <v>78</v>
      </c>
    </row>
    <row r="11" spans="1:22" x14ac:dyDescent="0.2">
      <c r="A11" s="5">
        <f ca="1">OFFSET(A11,-1,0,1,1)+1</f>
        <v>1</v>
      </c>
      <c r="B11" s="32"/>
      <c r="C11" s="28">
        <v>100</v>
      </c>
      <c r="D11" s="28">
        <v>50</v>
      </c>
      <c r="E11" s="28">
        <v>50</v>
      </c>
      <c r="F11" s="28">
        <v>50</v>
      </c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2">
        <f t="shared" ref="R11:R40" si="0">IF(SUM(C11:Q11)=0,"",SUMIF(C11:Q11,"&lt;&gt;")-SUMIF(C11:Q11,"=E"))</f>
        <v>250</v>
      </c>
      <c r="S11" s="21">
        <f>IF(SUM(C11:Q11)=0,"",$S$8+R11/(SUMIF(C11:Q11,"&lt;&gt;",$C$8:$Q$8)-SUMIF(C11:Q11,"=E",$C$8:$Q$8)))</f>
        <v>0.96153846153846156</v>
      </c>
      <c r="T11" s="16" t="str">
        <f>IF(S11="","",INDEX(Notes!$B$10:$B$22,MATCH(S11,Notes!$A$10:$A$22,1)))</f>
        <v>A+</v>
      </c>
    </row>
    <row r="12" spans="1:22" x14ac:dyDescent="0.2">
      <c r="A12" s="5">
        <f t="shared" ref="A12:A40" ca="1" si="1">OFFSET(A12,-1,0,1,1)+1</f>
        <v>2</v>
      </c>
      <c r="B12" s="32">
        <f ca="1">IF(displayID,INDEX(Binomes!$C$10:$C$109,'Evaluation final'!A12),INDEX(Binomes!$B$10:$B$109,'Evaluation final'!A12))</f>
        <v>104</v>
      </c>
      <c r="C12" s="28">
        <f ca="1">IF(B12 ='Conceptio&amp;realisation'!B4,'Conceptio&amp;realisation'!C21*C8/20)</f>
        <v>74.603174603174608</v>
      </c>
      <c r="D12" s="28">
        <f ca="1">IF(B12=DemarchProjet!B4,DemarchProjet!C20*'Evaluation final'!D8/20)</f>
        <v>56.129032258064512</v>
      </c>
      <c r="E12" s="28">
        <f ca="1">IF(Rapport!$B$4 ='Evaluation final'!B12,Rapport!$C$17*'Evaluation final'!E8/20)</f>
        <v>42.592592592592595</v>
      </c>
      <c r="F12" s="28">
        <f ca="1">IF(B12 =Soutenace!$B$4,Soutenace!$C$19*'Evaluation final'!F8/20)</f>
        <v>36.25</v>
      </c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2">
        <f t="shared" ca="1" si="0"/>
        <v>209.5747994538317</v>
      </c>
      <c r="S12" s="21">
        <f t="shared" ref="S12:S41" ca="1" si="2">IF(SUM(C12:Q12)=0,"",$S$8+R12/(SUMIF(C12:Q12,"&lt;&gt;",$C$8:$Q$8)-SUMIF(C12:Q12,"=E",$C$8:$Q$8)))</f>
        <v>0.80605692097627579</v>
      </c>
      <c r="T12" s="16" t="str">
        <f ca="1">IF(S12="","",INDEX(Notes!$B$10:$B$22,MATCH(S12,Notes!$A$10:$A$22,1)))</f>
        <v>B-</v>
      </c>
    </row>
    <row r="13" spans="1:22" x14ac:dyDescent="0.2">
      <c r="A13" s="5">
        <f t="shared" ca="1" si="1"/>
        <v>3</v>
      </c>
      <c r="B13" s="32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2" t="str">
        <f t="shared" si="0"/>
        <v/>
      </c>
      <c r="S13" s="21" t="str">
        <f t="shared" si="2"/>
        <v/>
      </c>
      <c r="T13" s="16" t="str">
        <f>IF(S13="","",INDEX(Notes!$B$10:$B$22,MATCH(S13,Notes!$A$10:$A$22,1)))</f>
        <v/>
      </c>
    </row>
    <row r="14" spans="1:22" x14ac:dyDescent="0.2">
      <c r="A14" s="5">
        <f t="shared" ca="1" si="1"/>
        <v>4</v>
      </c>
      <c r="B14" s="32">
        <f ca="1">IF(displayID,INDEX(Binomes!$C$10:$C$109,'Evaluation final'!A14),INDEX(Binomes!$B$10:$B$109,'Evaluation final'!A14))</f>
        <v>108</v>
      </c>
      <c r="C14" s="28">
        <v>100</v>
      </c>
      <c r="D14" s="28">
        <v>60</v>
      </c>
      <c r="E14" s="28">
        <v>30</v>
      </c>
      <c r="F14" s="28">
        <v>50</v>
      </c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2">
        <f t="shared" si="0"/>
        <v>240</v>
      </c>
      <c r="S14" s="21">
        <f t="shared" si="2"/>
        <v>0.92307692307692313</v>
      </c>
      <c r="T14" s="16" t="str">
        <f>IF(S14="","",INDEX(Notes!$B$10:$B$22,MATCH(S14,Notes!$A$10:$A$22,1)))</f>
        <v>A-</v>
      </c>
    </row>
    <row r="15" spans="1:22" x14ac:dyDescent="0.2">
      <c r="A15" s="5">
        <f t="shared" ca="1" si="1"/>
        <v>5</v>
      </c>
      <c r="B15" s="32">
        <f ca="1">IF(displayID,INDEX(Binomes!$C$10:$C$109,'Evaluation final'!A15),INDEX(Binomes!$B$10:$B$109,'Evaluation final'!A15))</f>
        <v>113</v>
      </c>
      <c r="C15" s="28">
        <v>30</v>
      </c>
      <c r="D15" s="28">
        <v>18</v>
      </c>
      <c r="E15" s="28">
        <v>12</v>
      </c>
      <c r="F15" s="28">
        <v>50</v>
      </c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2">
        <f t="shared" si="0"/>
        <v>110</v>
      </c>
      <c r="S15" s="21">
        <f t="shared" si="2"/>
        <v>0.42307692307692307</v>
      </c>
      <c r="T15" s="16" t="str">
        <f>IF(S15="","",INDEX(Notes!$B$10:$B$22,MATCH(S15,Notes!$A$10:$A$22,1)))</f>
        <v>F</v>
      </c>
    </row>
    <row r="16" spans="1:22" x14ac:dyDescent="0.2">
      <c r="A16" s="5">
        <f t="shared" ca="1" si="1"/>
        <v>6</v>
      </c>
      <c r="B16" s="32">
        <f ca="1">IF(displayID,INDEX(Binomes!$C$10:$C$109,'Evaluation final'!A16),INDEX(Binomes!$B$10:$B$109,'Evaluation final'!A16))</f>
        <v>0</v>
      </c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2" t="str">
        <f t="shared" si="0"/>
        <v/>
      </c>
      <c r="S16" s="21" t="str">
        <f t="shared" si="2"/>
        <v/>
      </c>
      <c r="T16" s="16" t="str">
        <f>IF(S16="","",INDEX(Notes!$B$10:$B$22,MATCH(S16,Notes!$A$10:$A$22,1)))</f>
        <v/>
      </c>
    </row>
    <row r="17" spans="1:20" x14ac:dyDescent="0.2">
      <c r="A17" s="5">
        <f t="shared" ca="1" si="1"/>
        <v>7</v>
      </c>
      <c r="B17" s="32">
        <f ca="1">IF(displayID,INDEX(Binomes!$C$10:$C$109,'Evaluation final'!A17),INDEX(Binomes!$B$10:$B$109,'Evaluation final'!A17))</f>
        <v>0</v>
      </c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2" t="str">
        <f t="shared" si="0"/>
        <v/>
      </c>
      <c r="S17" s="21" t="str">
        <f t="shared" si="2"/>
        <v/>
      </c>
      <c r="T17" s="16" t="str">
        <f>IF(S17="","",INDEX(Notes!$B$10:$B$22,MATCH(S17,Notes!$A$10:$A$22,1)))</f>
        <v/>
      </c>
    </row>
    <row r="18" spans="1:20" x14ac:dyDescent="0.2">
      <c r="A18" s="5">
        <f t="shared" ca="1" si="1"/>
        <v>8</v>
      </c>
      <c r="B18" s="32">
        <f ca="1">IF(displayID,INDEX(Binomes!$C$10:$C$109,'Evaluation final'!A18),INDEX(Binomes!$B$10:$B$109,'Evaluation final'!A18))</f>
        <v>0</v>
      </c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2" t="str">
        <f t="shared" si="0"/>
        <v/>
      </c>
      <c r="S18" s="21" t="str">
        <f t="shared" si="2"/>
        <v/>
      </c>
      <c r="T18" s="16" t="str">
        <f>IF(S18="","",INDEX(Notes!$B$10:$B$22,MATCH(S18,Notes!$A$10:$A$22,1)))</f>
        <v/>
      </c>
    </row>
    <row r="19" spans="1:20" x14ac:dyDescent="0.2">
      <c r="A19" s="5">
        <f t="shared" ca="1" si="1"/>
        <v>9</v>
      </c>
      <c r="B19" s="32">
        <f ca="1">IF(displayID,INDEX(Binomes!$C$10:$C$109,'Evaluation final'!A19),INDEX(Binomes!$B$10:$B$109,'Evaluation final'!A19))</f>
        <v>0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2" t="str">
        <f t="shared" si="0"/>
        <v/>
      </c>
      <c r="S19" s="21" t="str">
        <f t="shared" si="2"/>
        <v/>
      </c>
      <c r="T19" s="16" t="str">
        <f>IF(S19="","",INDEX(Notes!$B$10:$B$22,MATCH(S19,Notes!$A$10:$A$22,1)))</f>
        <v/>
      </c>
    </row>
    <row r="20" spans="1:20" x14ac:dyDescent="0.2">
      <c r="A20" s="5">
        <f t="shared" ca="1" si="1"/>
        <v>10</v>
      </c>
      <c r="B20" s="32">
        <f ca="1">IF(displayID,INDEX(Binomes!$C$10:$C$109,'Evaluation final'!A20),INDEX(Binomes!$B$10:$B$109,'Evaluation final'!A20))</f>
        <v>0</v>
      </c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2" t="str">
        <f t="shared" si="0"/>
        <v/>
      </c>
      <c r="S20" s="21" t="str">
        <f t="shared" si="2"/>
        <v/>
      </c>
      <c r="T20" s="16" t="str">
        <f>IF(S20="","",INDEX(Notes!$B$10:$B$22,MATCH(S20,Notes!$A$10:$A$22,1)))</f>
        <v/>
      </c>
    </row>
    <row r="21" spans="1:20" x14ac:dyDescent="0.2">
      <c r="A21" s="5">
        <f t="shared" ca="1" si="1"/>
        <v>11</v>
      </c>
      <c r="B21" s="32">
        <f ca="1">IF(displayID,INDEX(Binomes!$C$10:$C$109,'Evaluation final'!A21),INDEX(Binomes!$B$10:$B$109,'Evaluation final'!A21))</f>
        <v>0</v>
      </c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2" t="str">
        <f t="shared" si="0"/>
        <v/>
      </c>
      <c r="S21" s="21" t="str">
        <f t="shared" si="2"/>
        <v/>
      </c>
      <c r="T21" s="16" t="str">
        <f>IF(S21="","",INDEX(Notes!$B$10:$B$22,MATCH(S21,Notes!$A$10:$A$22,1)))</f>
        <v/>
      </c>
    </row>
    <row r="22" spans="1:20" x14ac:dyDescent="0.2">
      <c r="A22" s="5">
        <f t="shared" ca="1" si="1"/>
        <v>12</v>
      </c>
      <c r="B22" s="32">
        <f ca="1">IF(displayID,INDEX(Binomes!$C$10:$C$109,'Evaluation final'!A22),INDEX(Binomes!$B$10:$B$109,'Evaluation final'!A22))</f>
        <v>0</v>
      </c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2" t="str">
        <f t="shared" si="0"/>
        <v/>
      </c>
      <c r="S22" s="21" t="str">
        <f t="shared" si="2"/>
        <v/>
      </c>
      <c r="T22" s="16" t="str">
        <f>IF(S22="","",INDEX(Notes!$B$10:$B$22,MATCH(S22,Notes!$A$10:$A$22,1)))</f>
        <v/>
      </c>
    </row>
    <row r="23" spans="1:20" x14ac:dyDescent="0.2">
      <c r="A23" s="5">
        <f t="shared" ca="1" si="1"/>
        <v>13</v>
      </c>
      <c r="B23" s="32">
        <f ca="1">IF(displayID,INDEX(Binomes!$C$10:$C$109,'Evaluation final'!A23),INDEX(Binomes!$B$10:$B$109,'Evaluation final'!A23))</f>
        <v>0</v>
      </c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2" t="str">
        <f t="shared" si="0"/>
        <v/>
      </c>
      <c r="S23" s="21" t="str">
        <f t="shared" si="2"/>
        <v/>
      </c>
      <c r="T23" s="16" t="str">
        <f>IF(S23="","",INDEX(Notes!$B$10:$B$22,MATCH(S23,Notes!$A$10:$A$22,1)))</f>
        <v/>
      </c>
    </row>
    <row r="24" spans="1:20" x14ac:dyDescent="0.2">
      <c r="A24" s="5">
        <f t="shared" ca="1" si="1"/>
        <v>14</v>
      </c>
      <c r="B24" s="32">
        <f ca="1">IF(displayID,INDEX(Binomes!$C$10:$C$109,'Evaluation final'!A24),INDEX(Binomes!$B$10:$B$109,'Evaluation final'!A24))</f>
        <v>0</v>
      </c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2" t="str">
        <f t="shared" si="0"/>
        <v/>
      </c>
      <c r="S24" s="21" t="str">
        <f t="shared" si="2"/>
        <v/>
      </c>
      <c r="T24" s="16" t="str">
        <f>IF(S24="","",INDEX(Notes!$B$10:$B$22,MATCH(S24,Notes!$A$10:$A$22,1)))</f>
        <v/>
      </c>
    </row>
    <row r="25" spans="1:20" x14ac:dyDescent="0.2">
      <c r="A25" s="5">
        <f t="shared" ca="1" si="1"/>
        <v>15</v>
      </c>
      <c r="B25" s="32">
        <f ca="1">IF(displayID,INDEX(Binomes!$C$10:$C$109,'Evaluation final'!A25),INDEX(Binomes!$B$10:$B$109,'Evaluation final'!A25))</f>
        <v>0</v>
      </c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2" t="str">
        <f t="shared" si="0"/>
        <v/>
      </c>
      <c r="S25" s="21" t="str">
        <f t="shared" si="2"/>
        <v/>
      </c>
      <c r="T25" s="16" t="str">
        <f>IF(S25="","",INDEX(Notes!$B$10:$B$22,MATCH(S25,Notes!$A$10:$A$22,1)))</f>
        <v/>
      </c>
    </row>
    <row r="26" spans="1:20" x14ac:dyDescent="0.2">
      <c r="A26" s="5">
        <f t="shared" ca="1" si="1"/>
        <v>16</v>
      </c>
      <c r="B26" s="32">
        <f ca="1">IF(displayID,INDEX(Binomes!$C$10:$C$109,'Evaluation final'!A26),INDEX(Binomes!$B$10:$B$109,'Evaluation final'!A26))</f>
        <v>0</v>
      </c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2" t="str">
        <f t="shared" si="0"/>
        <v/>
      </c>
      <c r="S26" s="21" t="str">
        <f t="shared" si="2"/>
        <v/>
      </c>
      <c r="T26" s="16" t="str">
        <f>IF(S26="","",INDEX(Notes!$B$10:$B$22,MATCH(S26,Notes!$A$10:$A$22,1)))</f>
        <v/>
      </c>
    </row>
    <row r="27" spans="1:20" x14ac:dyDescent="0.2">
      <c r="A27" s="5">
        <f t="shared" ca="1" si="1"/>
        <v>17</v>
      </c>
      <c r="B27" s="32">
        <f ca="1">IF(displayID,INDEX(Binomes!$C$10:$C$109,'Evaluation final'!A27),INDEX(Binomes!$B$10:$B$109,'Evaluation final'!A27))</f>
        <v>0</v>
      </c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2" t="str">
        <f t="shared" si="0"/>
        <v/>
      </c>
      <c r="S27" s="21" t="str">
        <f t="shared" si="2"/>
        <v/>
      </c>
      <c r="T27" s="16" t="str">
        <f>IF(S27="","",INDEX(Notes!$B$10:$B$22,MATCH(S27,Notes!$A$10:$A$22,1)))</f>
        <v/>
      </c>
    </row>
    <row r="28" spans="1:20" x14ac:dyDescent="0.2">
      <c r="A28" s="5">
        <f t="shared" ca="1" si="1"/>
        <v>18</v>
      </c>
      <c r="B28" s="32">
        <f ca="1">IF(displayID,INDEX(Binomes!$C$10:$C$109,'Evaluation final'!A28),INDEX(Binomes!$B$10:$B$109,'Evaluation final'!A28))</f>
        <v>0</v>
      </c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2" t="str">
        <f t="shared" si="0"/>
        <v/>
      </c>
      <c r="S28" s="21" t="str">
        <f t="shared" si="2"/>
        <v/>
      </c>
      <c r="T28" s="16" t="str">
        <f>IF(S28="","",INDEX(Notes!$B$10:$B$22,MATCH(S28,Notes!$A$10:$A$22,1)))</f>
        <v/>
      </c>
    </row>
    <row r="29" spans="1:20" x14ac:dyDescent="0.2">
      <c r="A29" s="5">
        <f t="shared" ca="1" si="1"/>
        <v>19</v>
      </c>
      <c r="B29" s="32">
        <f ca="1">IF(displayID,INDEX(Binomes!$C$10:$C$109,'Evaluation final'!A29),INDEX(Binomes!$B$10:$B$109,'Evaluation final'!A29))</f>
        <v>0</v>
      </c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2" t="str">
        <f t="shared" si="0"/>
        <v/>
      </c>
      <c r="S29" s="21" t="str">
        <f t="shared" si="2"/>
        <v/>
      </c>
      <c r="T29" s="16" t="str">
        <f>IF(S29="","",INDEX(Notes!$B$10:$B$22,MATCH(S29,Notes!$A$10:$A$22,1)))</f>
        <v/>
      </c>
    </row>
    <row r="30" spans="1:20" x14ac:dyDescent="0.2">
      <c r="A30" s="5">
        <f t="shared" ca="1" si="1"/>
        <v>20</v>
      </c>
      <c r="B30" s="32">
        <f ca="1">IF(displayID,INDEX(Binomes!$C$10:$C$109,'Evaluation final'!A30),INDEX(Binomes!$B$10:$B$109,'Evaluation final'!A30))</f>
        <v>0</v>
      </c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2" t="str">
        <f t="shared" si="0"/>
        <v/>
      </c>
      <c r="S30" s="21" t="str">
        <f t="shared" si="2"/>
        <v/>
      </c>
      <c r="T30" s="16" t="str">
        <f>IF(S30="","",INDEX(Notes!$B$10:$B$22,MATCH(S30,Notes!$A$10:$A$22,1)))</f>
        <v/>
      </c>
    </row>
    <row r="31" spans="1:20" x14ac:dyDescent="0.2">
      <c r="A31" s="5">
        <f t="shared" ca="1" si="1"/>
        <v>21</v>
      </c>
      <c r="B31" s="32">
        <f ca="1">IF(displayID,INDEX(Binomes!$C$10:$C$109,'Evaluation final'!A31),INDEX(Binomes!$B$10:$B$109,'Evaluation final'!A31))</f>
        <v>0</v>
      </c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2" t="str">
        <f t="shared" si="0"/>
        <v/>
      </c>
      <c r="S31" s="21" t="str">
        <f t="shared" si="2"/>
        <v/>
      </c>
      <c r="T31" s="16" t="str">
        <f>IF(S31="","",INDEX(Notes!$B$10:$B$22,MATCH(S31,Notes!$A$10:$A$22,1)))</f>
        <v/>
      </c>
    </row>
    <row r="32" spans="1:20" x14ac:dyDescent="0.2">
      <c r="A32" s="5">
        <f t="shared" ca="1" si="1"/>
        <v>22</v>
      </c>
      <c r="B32" s="32">
        <f ca="1">IF(displayID,INDEX(Binomes!$C$10:$C$109,'Evaluation final'!A32),INDEX(Binomes!$B$10:$B$109,'Evaluation final'!A32))</f>
        <v>0</v>
      </c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2" t="str">
        <f t="shared" si="0"/>
        <v/>
      </c>
      <c r="S32" s="21" t="str">
        <f t="shared" si="2"/>
        <v/>
      </c>
      <c r="T32" s="16" t="str">
        <f>IF(S32="","",INDEX(Notes!$B$10:$B$22,MATCH(S32,Notes!$A$10:$A$22,1)))</f>
        <v/>
      </c>
    </row>
    <row r="33" spans="1:20" x14ac:dyDescent="0.2">
      <c r="A33" s="5">
        <f t="shared" ca="1" si="1"/>
        <v>23</v>
      </c>
      <c r="B33" s="32">
        <f ca="1">IF(displayID,INDEX(Binomes!$C$10:$C$109,'Evaluation final'!A33),INDEX(Binomes!$B$10:$B$109,'Evaluation final'!A33))</f>
        <v>0</v>
      </c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2" t="str">
        <f t="shared" si="0"/>
        <v/>
      </c>
      <c r="S33" s="21" t="str">
        <f t="shared" si="2"/>
        <v/>
      </c>
      <c r="T33" s="16" t="str">
        <f>IF(S33="","",INDEX(Notes!$B$10:$B$22,MATCH(S33,Notes!$A$10:$A$22,1)))</f>
        <v/>
      </c>
    </row>
    <row r="34" spans="1:20" x14ac:dyDescent="0.2">
      <c r="A34" s="5">
        <f t="shared" ca="1" si="1"/>
        <v>24</v>
      </c>
      <c r="B34" s="32">
        <f ca="1">IF(displayID,INDEX(Binomes!$C$10:$C$109,'Evaluation final'!A34),INDEX(Binomes!$B$10:$B$109,'Evaluation final'!A34))</f>
        <v>0</v>
      </c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2" t="str">
        <f t="shared" si="0"/>
        <v/>
      </c>
      <c r="S34" s="21" t="str">
        <f t="shared" si="2"/>
        <v/>
      </c>
      <c r="T34" s="16" t="str">
        <f>IF(S34="","",INDEX(Notes!$B$10:$B$22,MATCH(S34,Notes!$A$10:$A$22,1)))</f>
        <v/>
      </c>
    </row>
    <row r="35" spans="1:20" x14ac:dyDescent="0.2">
      <c r="A35" s="5">
        <f t="shared" ca="1" si="1"/>
        <v>25</v>
      </c>
      <c r="B35" s="32">
        <f ca="1">IF(displayID,INDEX(Binomes!$C$10:$C$109,'Evaluation final'!A35),INDEX(Binomes!$B$10:$B$109,'Evaluation final'!A35))</f>
        <v>0</v>
      </c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2" t="str">
        <f t="shared" si="0"/>
        <v/>
      </c>
      <c r="S35" s="21" t="str">
        <f t="shared" si="2"/>
        <v/>
      </c>
      <c r="T35" s="16" t="str">
        <f>IF(S35="","",INDEX(Notes!$B$10:$B$22,MATCH(S35,Notes!$A$10:$A$22,1)))</f>
        <v/>
      </c>
    </row>
    <row r="36" spans="1:20" x14ac:dyDescent="0.2">
      <c r="A36" s="5">
        <f t="shared" ca="1" si="1"/>
        <v>26</v>
      </c>
      <c r="B36" s="32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2" t="str">
        <f t="shared" si="0"/>
        <v/>
      </c>
      <c r="S36" s="21" t="str">
        <f t="shared" si="2"/>
        <v/>
      </c>
      <c r="T36" s="16" t="str">
        <f>IF(S36="","",INDEX(Notes!$B$10:$B$22,MATCH(S36,Notes!$A$10:$A$22,1)))</f>
        <v/>
      </c>
    </row>
    <row r="37" spans="1:20" x14ac:dyDescent="0.2">
      <c r="A37" s="5">
        <f t="shared" ca="1" si="1"/>
        <v>27</v>
      </c>
      <c r="B37" s="32">
        <f ca="1">IF(displayID,INDEX(Binomes!$C$10:$C$109,'Evaluation final'!A37),INDEX(Binomes!$B$10:$B$109,'Evaluation final'!A37))</f>
        <v>0</v>
      </c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2" t="str">
        <f t="shared" si="0"/>
        <v/>
      </c>
      <c r="S37" s="21" t="str">
        <f t="shared" si="2"/>
        <v/>
      </c>
      <c r="T37" s="16" t="str">
        <f>IF(S37="","",INDEX(Notes!$B$10:$B$22,MATCH(S37,Notes!$A$10:$A$22,1)))</f>
        <v/>
      </c>
    </row>
    <row r="38" spans="1:20" x14ac:dyDescent="0.2">
      <c r="A38" s="5">
        <f t="shared" ca="1" si="1"/>
        <v>28</v>
      </c>
      <c r="B38" s="32">
        <f ca="1">IF(displayID,INDEX(Binomes!$C$10:$C$109,'Evaluation final'!A38),INDEX(Binomes!$B$10:$B$109,'Evaluation final'!A38))</f>
        <v>0</v>
      </c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2" t="str">
        <f t="shared" si="0"/>
        <v/>
      </c>
      <c r="S38" s="21" t="str">
        <f t="shared" si="2"/>
        <v/>
      </c>
      <c r="T38" s="16" t="str">
        <f>IF(S38="","",INDEX(Notes!$B$10:$B$22,MATCH(S38,Notes!$A$10:$A$22,1)))</f>
        <v/>
      </c>
    </row>
    <row r="39" spans="1:20" x14ac:dyDescent="0.2">
      <c r="A39" s="5">
        <f t="shared" ca="1" si="1"/>
        <v>29</v>
      </c>
      <c r="B39" s="32">
        <f ca="1">IF(displayID,INDEX(Binomes!$C$10:$C$109,'Evaluation final'!A39),INDEX(Binomes!$B$10:$B$109,'Evaluation final'!A39))</f>
        <v>0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2" t="str">
        <f t="shared" si="0"/>
        <v/>
      </c>
      <c r="S39" s="21" t="str">
        <f t="shared" si="2"/>
        <v/>
      </c>
      <c r="T39" s="16" t="str">
        <f>IF(S39="","",INDEX(Notes!$B$10:$B$22,MATCH(S39,Notes!$A$10:$A$22,1)))</f>
        <v/>
      </c>
    </row>
    <row r="40" spans="1:20" x14ac:dyDescent="0.2">
      <c r="A40" s="5">
        <f t="shared" ca="1" si="1"/>
        <v>30</v>
      </c>
      <c r="B40" s="32">
        <f ca="1">IF(displayID,INDEX(Binomes!$C$10:$C$109,'Evaluation final'!A40),INDEX(Binomes!$B$10:$B$109,'Evaluation final'!A40))</f>
        <v>0</v>
      </c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2" t="str">
        <f t="shared" si="0"/>
        <v/>
      </c>
      <c r="S40" s="21" t="str">
        <f t="shared" si="2"/>
        <v/>
      </c>
      <c r="T40" s="16" t="str">
        <f>IF(S40="","",INDEX(Notes!$B$10:$B$22,MATCH(S40,Notes!$A$10:$A$22,1)))</f>
        <v/>
      </c>
    </row>
    <row r="41" spans="1:20" x14ac:dyDescent="0.2">
      <c r="A41" s="61" t="s">
        <v>17</v>
      </c>
      <c r="B41" s="56" t="s">
        <v>89</v>
      </c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22"/>
      <c r="S41" s="21" t="str">
        <f t="shared" si="2"/>
        <v/>
      </c>
      <c r="T41" s="16"/>
    </row>
    <row r="42" spans="1:20" x14ac:dyDescent="0.2">
      <c r="B42" s="11" t="s">
        <v>69</v>
      </c>
      <c r="C42" s="38">
        <f t="shared" ref="C42:P42" ca="1" si="3">IF(SUM(C11:C41)=0,0,AVERAGE(C11:C41))</f>
        <v>76.150793650793645</v>
      </c>
      <c r="D42" s="38">
        <f t="shared" ca="1" si="3"/>
        <v>46.032258064516128</v>
      </c>
      <c r="E42" s="38">
        <f t="shared" ca="1" si="3"/>
        <v>33.648148148148152</v>
      </c>
      <c r="F42" s="38">
        <f t="shared" ca="1" si="3"/>
        <v>46.5625</v>
      </c>
      <c r="G42" s="38">
        <f t="shared" si="3"/>
        <v>0</v>
      </c>
      <c r="H42" s="38">
        <f t="shared" si="3"/>
        <v>0</v>
      </c>
      <c r="I42" s="38">
        <f t="shared" si="3"/>
        <v>0</v>
      </c>
      <c r="J42" s="38">
        <f t="shared" si="3"/>
        <v>0</v>
      </c>
      <c r="K42" s="38">
        <f t="shared" si="3"/>
        <v>0</v>
      </c>
      <c r="L42" s="38">
        <f t="shared" si="3"/>
        <v>0</v>
      </c>
      <c r="M42" s="38">
        <f t="shared" si="3"/>
        <v>0</v>
      </c>
      <c r="N42" s="38">
        <f t="shared" si="3"/>
        <v>0</v>
      </c>
      <c r="O42" s="38">
        <f t="shared" si="3"/>
        <v>0</v>
      </c>
      <c r="P42" s="38">
        <f t="shared" si="3"/>
        <v>0</v>
      </c>
      <c r="Q42" s="38">
        <f>IF(SUM(Q11:Q41)=0,0,AVERAGE(Q11:Q41))</f>
        <v>0</v>
      </c>
      <c r="R42" s="110" t="s">
        <v>72</v>
      </c>
      <c r="S42" s="23">
        <f ca="1">AVERAGE(S11:S41)</f>
        <v>0.77843730716714588</v>
      </c>
      <c r="T42" s="17" t="str">
        <f ca="1">IF(S42="","",INDEX(Notes!$B$10:$B$22,MATCH(S42,Notes!$A$10:$A$22,1)))</f>
        <v>C+</v>
      </c>
    </row>
    <row r="43" spans="1:20" x14ac:dyDescent="0.2">
      <c r="B43" s="11" t="s">
        <v>70</v>
      </c>
      <c r="C43" s="63">
        <f t="shared" ref="C43:Q43" ca="1" si="4">IF(OR(C8=0,C42=0),"",C42/C8)</f>
        <v>0.76150793650793647</v>
      </c>
      <c r="D43" s="63">
        <f t="shared" ca="1" si="4"/>
        <v>0.76720430107526882</v>
      </c>
      <c r="E43" s="63">
        <f t="shared" ca="1" si="4"/>
        <v>0.6729629629629631</v>
      </c>
      <c r="F43" s="63">
        <f t="shared" ca="1" si="4"/>
        <v>0.93125000000000002</v>
      </c>
      <c r="G43" s="63" t="str">
        <f t="shared" si="4"/>
        <v/>
      </c>
      <c r="H43" s="63" t="str">
        <f t="shared" si="4"/>
        <v/>
      </c>
      <c r="I43" s="63" t="str">
        <f t="shared" si="4"/>
        <v/>
      </c>
      <c r="J43" s="63" t="str">
        <f t="shared" si="4"/>
        <v/>
      </c>
      <c r="K43" s="63" t="str">
        <f t="shared" si="4"/>
        <v/>
      </c>
      <c r="L43" s="63" t="str">
        <f t="shared" si="4"/>
        <v/>
      </c>
      <c r="M43" s="63" t="str">
        <f t="shared" si="4"/>
        <v/>
      </c>
      <c r="N43" s="63" t="str">
        <f t="shared" si="4"/>
        <v/>
      </c>
      <c r="O43" s="63" t="str">
        <f t="shared" si="4"/>
        <v/>
      </c>
      <c r="P43" s="63" t="str">
        <f t="shared" si="4"/>
        <v/>
      </c>
      <c r="Q43" s="63" t="str">
        <f t="shared" si="4"/>
        <v/>
      </c>
    </row>
    <row r="44" spans="1:20" x14ac:dyDescent="0.2">
      <c r="B44" s="11" t="s">
        <v>71</v>
      </c>
      <c r="C44" s="63">
        <f t="shared" ref="C44:Q44" ca="1" si="5">IF(OR(C8=0,C42=0),"",MEDIAN(C11:C41)/C8)</f>
        <v>0.87301587301587302</v>
      </c>
      <c r="D44" s="63">
        <f t="shared" ca="1" si="5"/>
        <v>0.88440860215053763</v>
      </c>
      <c r="E44" s="63">
        <f t="shared" ca="1" si="5"/>
        <v>0.72592592592592597</v>
      </c>
      <c r="F44" s="63">
        <f t="shared" ca="1" si="5"/>
        <v>1</v>
      </c>
      <c r="G44" s="63" t="str">
        <f t="shared" si="5"/>
        <v/>
      </c>
      <c r="H44" s="63" t="str">
        <f t="shared" si="5"/>
        <v/>
      </c>
      <c r="I44" s="63" t="str">
        <f t="shared" si="5"/>
        <v/>
      </c>
      <c r="J44" s="63" t="str">
        <f t="shared" si="5"/>
        <v/>
      </c>
      <c r="K44" s="63" t="str">
        <f t="shared" si="5"/>
        <v/>
      </c>
      <c r="L44" s="63" t="str">
        <f t="shared" si="5"/>
        <v/>
      </c>
      <c r="M44" s="63" t="str">
        <f t="shared" si="5"/>
        <v/>
      </c>
      <c r="N44" s="63" t="str">
        <f t="shared" si="5"/>
        <v/>
      </c>
      <c r="O44" s="63" t="str">
        <f t="shared" si="5"/>
        <v/>
      </c>
      <c r="P44" s="63" t="str">
        <f t="shared" si="5"/>
        <v/>
      </c>
      <c r="Q44" s="63" t="str">
        <f t="shared" si="5"/>
        <v/>
      </c>
      <c r="R44" s="110" t="s">
        <v>71</v>
      </c>
      <c r="S44" s="23">
        <f ca="1">MEDIAN(S11:S41)</f>
        <v>0.86456692202659946</v>
      </c>
    </row>
    <row r="45" spans="1:20" x14ac:dyDescent="0.2">
      <c r="B45" s="11"/>
      <c r="C45" s="63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42"/>
      <c r="S45" s="23"/>
      <c r="T45" s="61"/>
    </row>
  </sheetData>
  <phoneticPr fontId="2" type="noConversion"/>
  <printOptions horizontalCentered="1"/>
  <pageMargins left="0.5" right="0.5" top="0.5" bottom="0.5" header="0.5" footer="0.25"/>
  <pageSetup scale="91" fitToHeight="0" orientation="landscape" r:id="rId1"/>
  <headerFooter alignWithMargins="0"/>
  <ignoredErrors>
    <ignoredError sqref="C42:F42 I42:M42" formulaRange="1"/>
    <ignoredError sqref="D12:F1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Check Box 11">
              <controlPr defaultSize="0" print="0" autoFill="0" autoLine="0" autoPict="0">
                <anchor moveWithCells="1">
                  <from>
                    <xdr:col>0</xdr:col>
                    <xdr:colOff>0</xdr:colOff>
                    <xdr:row>6</xdr:row>
                    <xdr:rowOff>247650</xdr:rowOff>
                  </from>
                  <to>
                    <xdr:col>1</xdr:col>
                    <xdr:colOff>847725</xdr:colOff>
                    <xdr:row>6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09"/>
  <sheetViews>
    <sheetView showGridLines="0" workbookViewId="0">
      <selection activeCell="F18" sqref="F18"/>
    </sheetView>
  </sheetViews>
  <sheetFormatPr defaultRowHeight="12.75" x14ac:dyDescent="0.2"/>
  <cols>
    <col min="1" max="1" width="5" customWidth="1"/>
    <col min="2" max="2" width="52.5703125" customWidth="1"/>
    <col min="9" max="9" width="0" hidden="1" customWidth="1"/>
  </cols>
  <sheetData>
    <row r="1" spans="1:10" ht="23.25" x14ac:dyDescent="0.2">
      <c r="A1" s="6" t="s">
        <v>73</v>
      </c>
      <c r="J1" s="29"/>
    </row>
    <row r="2" spans="1:10" x14ac:dyDescent="0.2">
      <c r="A2" s="15"/>
      <c r="I2" s="59" t="s">
        <v>16</v>
      </c>
      <c r="J2" s="30"/>
    </row>
    <row r="3" spans="1:10" x14ac:dyDescent="0.2">
      <c r="A3" s="15"/>
      <c r="I3" s="60" t="b">
        <v>1</v>
      </c>
      <c r="J3" s="52"/>
    </row>
    <row r="4" spans="1:10" x14ac:dyDescent="0.2">
      <c r="A4" s="15"/>
    </row>
    <row r="5" spans="1:10" x14ac:dyDescent="0.2">
      <c r="A5" s="15"/>
    </row>
    <row r="6" spans="1:10" x14ac:dyDescent="0.2">
      <c r="A6" s="15"/>
    </row>
    <row r="7" spans="1:10" x14ac:dyDescent="0.2">
      <c r="A7" s="15"/>
    </row>
    <row r="8" spans="1:10" x14ac:dyDescent="0.2">
      <c r="A8" s="15"/>
    </row>
    <row r="9" spans="1:10" x14ac:dyDescent="0.2">
      <c r="B9" s="10" t="s">
        <v>32</v>
      </c>
      <c r="C9" s="10" t="s">
        <v>15</v>
      </c>
    </row>
    <row r="10" spans="1:10" x14ac:dyDescent="0.2">
      <c r="A10" s="26">
        <f ca="1">OFFSET(A10,-1,0,1,1)+1</f>
        <v>1</v>
      </c>
      <c r="B10" s="65" t="s">
        <v>21</v>
      </c>
      <c r="C10" s="20">
        <v>102</v>
      </c>
    </row>
    <row r="11" spans="1:10" x14ac:dyDescent="0.2">
      <c r="A11" s="26">
        <f t="shared" ref="A11:A74" ca="1" si="0">OFFSET(A11,-1,0,1,1)+1</f>
        <v>2</v>
      </c>
      <c r="B11" s="65" t="s">
        <v>22</v>
      </c>
      <c r="C11" s="20">
        <v>104</v>
      </c>
    </row>
    <row r="12" spans="1:10" x14ac:dyDescent="0.2">
      <c r="A12" s="26">
        <f t="shared" ca="1" si="0"/>
        <v>3</v>
      </c>
      <c r="B12" s="65" t="s">
        <v>65</v>
      </c>
      <c r="C12" s="20">
        <v>106</v>
      </c>
    </row>
    <row r="13" spans="1:10" x14ac:dyDescent="0.2">
      <c r="A13" s="26">
        <f t="shared" ca="1" si="0"/>
        <v>4</v>
      </c>
      <c r="B13" s="65" t="s">
        <v>66</v>
      </c>
      <c r="C13" s="20">
        <v>108</v>
      </c>
    </row>
    <row r="14" spans="1:10" x14ac:dyDescent="0.2">
      <c r="A14" s="26">
        <f t="shared" ca="1" si="0"/>
        <v>5</v>
      </c>
      <c r="B14" s="65" t="s">
        <v>67</v>
      </c>
      <c r="C14" s="20">
        <v>113</v>
      </c>
    </row>
    <row r="15" spans="1:10" x14ac:dyDescent="0.2">
      <c r="A15" s="26">
        <f t="shared" ca="1" si="0"/>
        <v>6</v>
      </c>
      <c r="B15" s="12"/>
      <c r="C15" s="20"/>
    </row>
    <row r="16" spans="1:10" x14ac:dyDescent="0.2">
      <c r="A16" s="26">
        <f t="shared" ca="1" si="0"/>
        <v>7</v>
      </c>
      <c r="B16" s="12"/>
      <c r="C16" s="20"/>
    </row>
    <row r="17" spans="1:3" x14ac:dyDescent="0.2">
      <c r="A17" s="26">
        <f t="shared" ca="1" si="0"/>
        <v>8</v>
      </c>
      <c r="B17" s="12"/>
      <c r="C17" s="20"/>
    </row>
    <row r="18" spans="1:3" x14ac:dyDescent="0.2">
      <c r="A18" s="26">
        <f t="shared" ca="1" si="0"/>
        <v>9</v>
      </c>
      <c r="B18" s="12"/>
      <c r="C18" s="20"/>
    </row>
    <row r="19" spans="1:3" x14ac:dyDescent="0.2">
      <c r="A19" s="26">
        <f t="shared" ca="1" si="0"/>
        <v>10</v>
      </c>
      <c r="B19" s="12"/>
      <c r="C19" s="20"/>
    </row>
    <row r="20" spans="1:3" x14ac:dyDescent="0.2">
      <c r="A20" s="26">
        <f t="shared" ca="1" si="0"/>
        <v>11</v>
      </c>
      <c r="B20" s="12"/>
      <c r="C20" s="20"/>
    </row>
    <row r="21" spans="1:3" x14ac:dyDescent="0.2">
      <c r="A21" s="26">
        <f t="shared" ca="1" si="0"/>
        <v>12</v>
      </c>
      <c r="B21" s="12"/>
      <c r="C21" s="20"/>
    </row>
    <row r="22" spans="1:3" x14ac:dyDescent="0.2">
      <c r="A22" s="26">
        <f t="shared" ca="1" si="0"/>
        <v>13</v>
      </c>
      <c r="B22" s="12"/>
      <c r="C22" s="20"/>
    </row>
    <row r="23" spans="1:3" x14ac:dyDescent="0.2">
      <c r="A23" s="26">
        <f t="shared" ca="1" si="0"/>
        <v>14</v>
      </c>
      <c r="B23" s="12"/>
      <c r="C23" s="20"/>
    </row>
    <row r="24" spans="1:3" x14ac:dyDescent="0.2">
      <c r="A24" s="26">
        <f t="shared" ca="1" si="0"/>
        <v>15</v>
      </c>
      <c r="B24" s="12"/>
      <c r="C24" s="20"/>
    </row>
    <row r="25" spans="1:3" x14ac:dyDescent="0.2">
      <c r="A25" s="26">
        <f t="shared" ca="1" si="0"/>
        <v>16</v>
      </c>
      <c r="B25" s="12"/>
      <c r="C25" s="20"/>
    </row>
    <row r="26" spans="1:3" x14ac:dyDescent="0.2">
      <c r="A26" s="26">
        <f t="shared" ca="1" si="0"/>
        <v>17</v>
      </c>
      <c r="B26" s="12"/>
      <c r="C26" s="20"/>
    </row>
    <row r="27" spans="1:3" x14ac:dyDescent="0.2">
      <c r="A27" s="26">
        <f t="shared" ca="1" si="0"/>
        <v>18</v>
      </c>
      <c r="B27" s="12"/>
      <c r="C27" s="20"/>
    </row>
    <row r="28" spans="1:3" x14ac:dyDescent="0.2">
      <c r="A28" s="26">
        <f t="shared" ca="1" si="0"/>
        <v>19</v>
      </c>
      <c r="B28" s="12"/>
      <c r="C28" s="20"/>
    </row>
    <row r="29" spans="1:3" x14ac:dyDescent="0.2">
      <c r="A29" s="26">
        <f t="shared" ca="1" si="0"/>
        <v>20</v>
      </c>
      <c r="B29" s="12"/>
      <c r="C29" s="20"/>
    </row>
    <row r="30" spans="1:3" x14ac:dyDescent="0.2">
      <c r="A30" s="26">
        <f t="shared" ca="1" si="0"/>
        <v>21</v>
      </c>
      <c r="B30" s="12"/>
      <c r="C30" s="20"/>
    </row>
    <row r="31" spans="1:3" x14ac:dyDescent="0.2">
      <c r="A31" s="26">
        <f t="shared" ca="1" si="0"/>
        <v>22</v>
      </c>
      <c r="B31" s="65"/>
      <c r="C31" s="20"/>
    </row>
    <row r="32" spans="1:3" x14ac:dyDescent="0.2">
      <c r="A32" s="26">
        <f t="shared" ca="1" si="0"/>
        <v>23</v>
      </c>
      <c r="B32" s="12"/>
      <c r="C32" s="20"/>
    </row>
    <row r="33" spans="1:3" x14ac:dyDescent="0.2">
      <c r="A33" s="26">
        <f t="shared" ca="1" si="0"/>
        <v>24</v>
      </c>
      <c r="B33" s="12"/>
      <c r="C33" s="20"/>
    </row>
    <row r="34" spans="1:3" x14ac:dyDescent="0.2">
      <c r="A34" s="26">
        <f t="shared" ca="1" si="0"/>
        <v>25</v>
      </c>
      <c r="B34" s="12"/>
      <c r="C34" s="20"/>
    </row>
    <row r="35" spans="1:3" x14ac:dyDescent="0.2">
      <c r="A35" s="26">
        <f t="shared" ca="1" si="0"/>
        <v>26</v>
      </c>
      <c r="B35" s="12"/>
      <c r="C35" s="20"/>
    </row>
    <row r="36" spans="1:3" x14ac:dyDescent="0.2">
      <c r="A36" s="26">
        <f t="shared" ca="1" si="0"/>
        <v>27</v>
      </c>
      <c r="B36" s="65"/>
      <c r="C36" s="20"/>
    </row>
    <row r="37" spans="1:3" x14ac:dyDescent="0.2">
      <c r="A37" s="26">
        <f t="shared" ca="1" si="0"/>
        <v>28</v>
      </c>
      <c r="B37" s="65"/>
      <c r="C37" s="20"/>
    </row>
    <row r="38" spans="1:3" x14ac:dyDescent="0.2">
      <c r="A38" s="26">
        <f t="shared" ca="1" si="0"/>
        <v>29</v>
      </c>
      <c r="B38" s="12"/>
      <c r="C38" s="20"/>
    </row>
    <row r="39" spans="1:3" x14ac:dyDescent="0.2">
      <c r="A39" s="26">
        <f t="shared" ca="1" si="0"/>
        <v>30</v>
      </c>
      <c r="B39" s="12"/>
      <c r="C39" s="20"/>
    </row>
    <row r="40" spans="1:3" x14ac:dyDescent="0.2">
      <c r="A40" s="26">
        <f t="shared" ca="1" si="0"/>
        <v>31</v>
      </c>
      <c r="B40" s="12"/>
      <c r="C40" s="20"/>
    </row>
    <row r="41" spans="1:3" x14ac:dyDescent="0.2">
      <c r="A41" s="26">
        <f t="shared" ca="1" si="0"/>
        <v>32</v>
      </c>
      <c r="B41" s="12"/>
      <c r="C41" s="20"/>
    </row>
    <row r="42" spans="1:3" x14ac:dyDescent="0.2">
      <c r="A42" s="26">
        <f t="shared" ca="1" si="0"/>
        <v>33</v>
      </c>
      <c r="B42" s="12"/>
      <c r="C42" s="20"/>
    </row>
    <row r="43" spans="1:3" x14ac:dyDescent="0.2">
      <c r="A43" s="26">
        <f t="shared" ca="1" si="0"/>
        <v>34</v>
      </c>
      <c r="B43" s="12"/>
      <c r="C43" s="20"/>
    </row>
    <row r="44" spans="1:3" x14ac:dyDescent="0.2">
      <c r="A44" s="26">
        <f t="shared" ca="1" si="0"/>
        <v>35</v>
      </c>
      <c r="B44" s="12"/>
      <c r="C44" s="20"/>
    </row>
    <row r="45" spans="1:3" x14ac:dyDescent="0.2">
      <c r="A45" s="26">
        <f t="shared" ca="1" si="0"/>
        <v>36</v>
      </c>
      <c r="B45" s="12"/>
      <c r="C45" s="20"/>
    </row>
    <row r="46" spans="1:3" x14ac:dyDescent="0.2">
      <c r="A46" s="26">
        <f t="shared" ca="1" si="0"/>
        <v>37</v>
      </c>
      <c r="B46" s="12"/>
      <c r="C46" s="20"/>
    </row>
    <row r="47" spans="1:3" x14ac:dyDescent="0.2">
      <c r="A47" s="26">
        <f t="shared" ca="1" si="0"/>
        <v>38</v>
      </c>
      <c r="B47" s="12"/>
      <c r="C47" s="20"/>
    </row>
    <row r="48" spans="1:3" x14ac:dyDescent="0.2">
      <c r="A48" s="26">
        <f t="shared" ca="1" si="0"/>
        <v>39</v>
      </c>
      <c r="B48" s="12"/>
      <c r="C48" s="20"/>
    </row>
    <row r="49" spans="1:3" x14ac:dyDescent="0.2">
      <c r="A49" s="26">
        <f t="shared" ca="1" si="0"/>
        <v>40</v>
      </c>
      <c r="B49" s="12"/>
      <c r="C49" s="20"/>
    </row>
    <row r="50" spans="1:3" x14ac:dyDescent="0.2">
      <c r="A50" s="26">
        <f t="shared" ca="1" si="0"/>
        <v>41</v>
      </c>
      <c r="B50" s="12"/>
      <c r="C50" s="20"/>
    </row>
    <row r="51" spans="1:3" x14ac:dyDescent="0.2">
      <c r="A51" s="26">
        <f t="shared" ca="1" si="0"/>
        <v>42</v>
      </c>
      <c r="B51" s="12"/>
      <c r="C51" s="20"/>
    </row>
    <row r="52" spans="1:3" x14ac:dyDescent="0.2">
      <c r="A52" s="26">
        <f t="shared" ca="1" si="0"/>
        <v>43</v>
      </c>
      <c r="B52" s="12"/>
      <c r="C52" s="20"/>
    </row>
    <row r="53" spans="1:3" x14ac:dyDescent="0.2">
      <c r="A53" s="26">
        <f t="shared" ca="1" si="0"/>
        <v>44</v>
      </c>
      <c r="B53" s="12"/>
      <c r="C53" s="20"/>
    </row>
    <row r="54" spans="1:3" x14ac:dyDescent="0.2">
      <c r="A54" s="26">
        <f t="shared" ca="1" si="0"/>
        <v>45</v>
      </c>
      <c r="B54" s="12"/>
      <c r="C54" s="20"/>
    </row>
    <row r="55" spans="1:3" x14ac:dyDescent="0.2">
      <c r="A55" s="26">
        <f t="shared" ca="1" si="0"/>
        <v>46</v>
      </c>
      <c r="B55" s="12"/>
      <c r="C55" s="20"/>
    </row>
    <row r="56" spans="1:3" x14ac:dyDescent="0.2">
      <c r="A56" s="26">
        <f t="shared" ca="1" si="0"/>
        <v>47</v>
      </c>
      <c r="B56" s="12"/>
      <c r="C56" s="20"/>
    </row>
    <row r="57" spans="1:3" x14ac:dyDescent="0.2">
      <c r="A57" s="26">
        <f t="shared" ca="1" si="0"/>
        <v>48</v>
      </c>
      <c r="B57" s="12"/>
      <c r="C57" s="20"/>
    </row>
    <row r="58" spans="1:3" x14ac:dyDescent="0.2">
      <c r="A58" s="26">
        <f t="shared" ca="1" si="0"/>
        <v>49</v>
      </c>
      <c r="B58" s="12"/>
      <c r="C58" s="20"/>
    </row>
    <row r="59" spans="1:3" x14ac:dyDescent="0.2">
      <c r="A59" s="26">
        <f t="shared" ca="1" si="0"/>
        <v>50</v>
      </c>
      <c r="B59" s="12"/>
      <c r="C59" s="20"/>
    </row>
    <row r="60" spans="1:3" x14ac:dyDescent="0.2">
      <c r="A60" s="26">
        <f t="shared" ca="1" si="0"/>
        <v>51</v>
      </c>
      <c r="B60" s="12"/>
      <c r="C60" s="20"/>
    </row>
    <row r="61" spans="1:3" x14ac:dyDescent="0.2">
      <c r="A61" s="26">
        <f t="shared" ca="1" si="0"/>
        <v>52</v>
      </c>
      <c r="B61" s="12"/>
      <c r="C61" s="20"/>
    </row>
    <row r="62" spans="1:3" x14ac:dyDescent="0.2">
      <c r="A62" s="26">
        <f t="shared" ca="1" si="0"/>
        <v>53</v>
      </c>
      <c r="B62" s="12"/>
      <c r="C62" s="20"/>
    </row>
    <row r="63" spans="1:3" x14ac:dyDescent="0.2">
      <c r="A63" s="26">
        <f t="shared" ca="1" si="0"/>
        <v>54</v>
      </c>
      <c r="B63" s="12"/>
      <c r="C63" s="20"/>
    </row>
    <row r="64" spans="1:3" x14ac:dyDescent="0.2">
      <c r="A64" s="26">
        <f t="shared" ca="1" si="0"/>
        <v>55</v>
      </c>
      <c r="B64" s="12"/>
      <c r="C64" s="20"/>
    </row>
    <row r="65" spans="1:3" x14ac:dyDescent="0.2">
      <c r="A65" s="26">
        <f t="shared" ca="1" si="0"/>
        <v>56</v>
      </c>
      <c r="B65" s="12"/>
      <c r="C65" s="20"/>
    </row>
    <row r="66" spans="1:3" x14ac:dyDescent="0.2">
      <c r="A66" s="26">
        <f t="shared" ca="1" si="0"/>
        <v>57</v>
      </c>
      <c r="B66" s="12"/>
      <c r="C66" s="20"/>
    </row>
    <row r="67" spans="1:3" x14ac:dyDescent="0.2">
      <c r="A67" s="26">
        <f t="shared" ca="1" si="0"/>
        <v>58</v>
      </c>
      <c r="B67" s="12"/>
      <c r="C67" s="20"/>
    </row>
    <row r="68" spans="1:3" x14ac:dyDescent="0.2">
      <c r="A68" s="26">
        <f t="shared" ca="1" si="0"/>
        <v>59</v>
      </c>
      <c r="B68" s="12"/>
      <c r="C68" s="20"/>
    </row>
    <row r="69" spans="1:3" x14ac:dyDescent="0.2">
      <c r="A69" s="26">
        <f t="shared" ca="1" si="0"/>
        <v>60</v>
      </c>
      <c r="B69" s="12"/>
      <c r="C69" s="20"/>
    </row>
    <row r="70" spans="1:3" x14ac:dyDescent="0.2">
      <c r="A70" s="26">
        <f t="shared" ca="1" si="0"/>
        <v>61</v>
      </c>
      <c r="B70" s="12"/>
      <c r="C70" s="20"/>
    </row>
    <row r="71" spans="1:3" x14ac:dyDescent="0.2">
      <c r="A71" s="26">
        <f t="shared" ca="1" si="0"/>
        <v>62</v>
      </c>
      <c r="B71" s="12"/>
      <c r="C71" s="20"/>
    </row>
    <row r="72" spans="1:3" x14ac:dyDescent="0.2">
      <c r="A72" s="26">
        <f t="shared" ca="1" si="0"/>
        <v>63</v>
      </c>
      <c r="B72" s="12"/>
      <c r="C72" s="20"/>
    </row>
    <row r="73" spans="1:3" x14ac:dyDescent="0.2">
      <c r="A73" s="26">
        <f t="shared" ca="1" si="0"/>
        <v>64</v>
      </c>
      <c r="B73" s="12"/>
      <c r="C73" s="20"/>
    </row>
    <row r="74" spans="1:3" x14ac:dyDescent="0.2">
      <c r="A74" s="26">
        <f t="shared" ca="1" si="0"/>
        <v>65</v>
      </c>
      <c r="B74" s="12"/>
      <c r="C74" s="20"/>
    </row>
    <row r="75" spans="1:3" x14ac:dyDescent="0.2">
      <c r="A75" s="26">
        <f t="shared" ref="A75:A109" ca="1" si="1">OFFSET(A75,-1,0,1,1)+1</f>
        <v>66</v>
      </c>
      <c r="B75" s="12"/>
      <c r="C75" s="20"/>
    </row>
    <row r="76" spans="1:3" x14ac:dyDescent="0.2">
      <c r="A76" s="26">
        <f t="shared" ca="1" si="1"/>
        <v>67</v>
      </c>
      <c r="B76" s="12"/>
      <c r="C76" s="20"/>
    </row>
    <row r="77" spans="1:3" x14ac:dyDescent="0.2">
      <c r="A77" s="26">
        <f t="shared" ca="1" si="1"/>
        <v>68</v>
      </c>
      <c r="B77" s="12"/>
      <c r="C77" s="20"/>
    </row>
    <row r="78" spans="1:3" x14ac:dyDescent="0.2">
      <c r="A78" s="26">
        <f t="shared" ca="1" si="1"/>
        <v>69</v>
      </c>
      <c r="B78" s="12"/>
      <c r="C78" s="20"/>
    </row>
    <row r="79" spans="1:3" x14ac:dyDescent="0.2">
      <c r="A79" s="26">
        <f t="shared" ca="1" si="1"/>
        <v>70</v>
      </c>
      <c r="B79" s="12"/>
      <c r="C79" s="20"/>
    </row>
    <row r="80" spans="1:3" x14ac:dyDescent="0.2">
      <c r="A80" s="26">
        <f t="shared" ca="1" si="1"/>
        <v>71</v>
      </c>
      <c r="B80" s="12"/>
      <c r="C80" s="20"/>
    </row>
    <row r="81" spans="1:3" x14ac:dyDescent="0.2">
      <c r="A81" s="26">
        <f t="shared" ca="1" si="1"/>
        <v>72</v>
      </c>
      <c r="B81" s="12"/>
      <c r="C81" s="20"/>
    </row>
    <row r="82" spans="1:3" x14ac:dyDescent="0.2">
      <c r="A82" s="26">
        <f t="shared" ca="1" si="1"/>
        <v>73</v>
      </c>
      <c r="B82" s="12"/>
      <c r="C82" s="20"/>
    </row>
    <row r="83" spans="1:3" x14ac:dyDescent="0.2">
      <c r="A83" s="26">
        <f t="shared" ca="1" si="1"/>
        <v>74</v>
      </c>
      <c r="B83" s="12"/>
      <c r="C83" s="20"/>
    </row>
    <row r="84" spans="1:3" x14ac:dyDescent="0.2">
      <c r="A84" s="26">
        <f t="shared" ca="1" si="1"/>
        <v>75</v>
      </c>
      <c r="B84" s="12"/>
      <c r="C84" s="20"/>
    </row>
    <row r="85" spans="1:3" x14ac:dyDescent="0.2">
      <c r="A85" s="26">
        <f t="shared" ca="1" si="1"/>
        <v>76</v>
      </c>
      <c r="B85" s="12"/>
      <c r="C85" s="20"/>
    </row>
    <row r="86" spans="1:3" x14ac:dyDescent="0.2">
      <c r="A86" s="26">
        <f t="shared" ca="1" si="1"/>
        <v>77</v>
      </c>
      <c r="B86" s="12"/>
      <c r="C86" s="20"/>
    </row>
    <row r="87" spans="1:3" x14ac:dyDescent="0.2">
      <c r="A87" s="26">
        <f t="shared" ca="1" si="1"/>
        <v>78</v>
      </c>
      <c r="B87" s="12"/>
      <c r="C87" s="20"/>
    </row>
    <row r="88" spans="1:3" x14ac:dyDescent="0.2">
      <c r="A88" s="26">
        <f t="shared" ca="1" si="1"/>
        <v>79</v>
      </c>
      <c r="B88" s="12"/>
      <c r="C88" s="20"/>
    </row>
    <row r="89" spans="1:3" x14ac:dyDescent="0.2">
      <c r="A89" s="26">
        <f t="shared" ca="1" si="1"/>
        <v>80</v>
      </c>
      <c r="B89" s="12"/>
      <c r="C89" s="20"/>
    </row>
    <row r="90" spans="1:3" x14ac:dyDescent="0.2">
      <c r="A90" s="26">
        <f t="shared" ca="1" si="1"/>
        <v>81</v>
      </c>
      <c r="B90" s="12"/>
      <c r="C90" s="20"/>
    </row>
    <row r="91" spans="1:3" x14ac:dyDescent="0.2">
      <c r="A91" s="26">
        <f t="shared" ca="1" si="1"/>
        <v>82</v>
      </c>
      <c r="B91" s="12"/>
      <c r="C91" s="20"/>
    </row>
    <row r="92" spans="1:3" x14ac:dyDescent="0.2">
      <c r="A92" s="26">
        <f t="shared" ca="1" si="1"/>
        <v>83</v>
      </c>
      <c r="B92" s="12"/>
      <c r="C92" s="20"/>
    </row>
    <row r="93" spans="1:3" x14ac:dyDescent="0.2">
      <c r="A93" s="26">
        <f t="shared" ca="1" si="1"/>
        <v>84</v>
      </c>
      <c r="B93" s="12"/>
      <c r="C93" s="20"/>
    </row>
    <row r="94" spans="1:3" x14ac:dyDescent="0.2">
      <c r="A94" s="26">
        <f t="shared" ca="1" si="1"/>
        <v>85</v>
      </c>
      <c r="B94" s="12"/>
      <c r="C94" s="20"/>
    </row>
    <row r="95" spans="1:3" x14ac:dyDescent="0.2">
      <c r="A95" s="26">
        <f t="shared" ca="1" si="1"/>
        <v>86</v>
      </c>
      <c r="B95" s="12"/>
      <c r="C95" s="20"/>
    </row>
    <row r="96" spans="1:3" x14ac:dyDescent="0.2">
      <c r="A96" s="26">
        <f t="shared" ca="1" si="1"/>
        <v>87</v>
      </c>
      <c r="B96" s="12"/>
      <c r="C96" s="20"/>
    </row>
    <row r="97" spans="1:3" x14ac:dyDescent="0.2">
      <c r="A97" s="26">
        <f t="shared" ca="1" si="1"/>
        <v>88</v>
      </c>
      <c r="B97" s="12"/>
      <c r="C97" s="20"/>
    </row>
    <row r="98" spans="1:3" x14ac:dyDescent="0.2">
      <c r="A98" s="26">
        <f t="shared" ca="1" si="1"/>
        <v>89</v>
      </c>
      <c r="B98" s="12"/>
      <c r="C98" s="20"/>
    </row>
    <row r="99" spans="1:3" x14ac:dyDescent="0.2">
      <c r="A99" s="26">
        <f t="shared" ca="1" si="1"/>
        <v>90</v>
      </c>
      <c r="B99" s="12"/>
      <c r="C99" s="20"/>
    </row>
    <row r="100" spans="1:3" x14ac:dyDescent="0.2">
      <c r="A100" s="26">
        <f t="shared" ca="1" si="1"/>
        <v>91</v>
      </c>
      <c r="B100" s="12"/>
      <c r="C100" s="20"/>
    </row>
    <row r="101" spans="1:3" x14ac:dyDescent="0.2">
      <c r="A101" s="26">
        <f t="shared" ca="1" si="1"/>
        <v>92</v>
      </c>
      <c r="B101" s="12"/>
      <c r="C101" s="20"/>
    </row>
    <row r="102" spans="1:3" x14ac:dyDescent="0.2">
      <c r="A102" s="26">
        <f t="shared" ca="1" si="1"/>
        <v>93</v>
      </c>
      <c r="B102" s="12"/>
      <c r="C102" s="20"/>
    </row>
    <row r="103" spans="1:3" x14ac:dyDescent="0.2">
      <c r="A103" s="26">
        <f t="shared" ca="1" si="1"/>
        <v>94</v>
      </c>
      <c r="B103" s="12"/>
      <c r="C103" s="20"/>
    </row>
    <row r="104" spans="1:3" x14ac:dyDescent="0.2">
      <c r="A104" s="26">
        <f t="shared" ca="1" si="1"/>
        <v>95</v>
      </c>
      <c r="B104" s="12"/>
      <c r="C104" s="20"/>
    </row>
    <row r="105" spans="1:3" x14ac:dyDescent="0.2">
      <c r="A105" s="26">
        <f t="shared" ca="1" si="1"/>
        <v>96</v>
      </c>
      <c r="B105" s="12"/>
      <c r="C105" s="20"/>
    </row>
    <row r="106" spans="1:3" x14ac:dyDescent="0.2">
      <c r="A106" s="26">
        <f t="shared" ca="1" si="1"/>
        <v>97</v>
      </c>
      <c r="B106" s="12"/>
      <c r="C106" s="20"/>
    </row>
    <row r="107" spans="1:3" x14ac:dyDescent="0.2">
      <c r="A107" s="26">
        <f t="shared" ca="1" si="1"/>
        <v>98</v>
      </c>
      <c r="B107" s="12"/>
      <c r="C107" s="20"/>
    </row>
    <row r="108" spans="1:3" x14ac:dyDescent="0.2">
      <c r="A108" s="26">
        <f t="shared" ca="1" si="1"/>
        <v>99</v>
      </c>
      <c r="B108" s="12"/>
      <c r="C108" s="20"/>
    </row>
    <row r="109" spans="1:3" x14ac:dyDescent="0.2">
      <c r="A109" s="26">
        <f t="shared" ca="1" si="1"/>
        <v>100</v>
      </c>
      <c r="B109" s="12"/>
      <c r="C109" s="20"/>
    </row>
  </sheetData>
  <phoneticPr fontId="7" type="noConversion"/>
  <pageMargins left="0.75" right="0.75" top="0.5" bottom="0.5" header="0.5" footer="0.25"/>
  <pageSetup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J99"/>
  <sheetViews>
    <sheetView topLeftCell="A7" workbookViewId="0">
      <selection activeCell="B26" sqref="B26"/>
    </sheetView>
  </sheetViews>
  <sheetFormatPr defaultRowHeight="12.75" x14ac:dyDescent="0.2"/>
  <cols>
    <col min="2" max="2" width="82.28515625" customWidth="1"/>
    <col min="3" max="3" width="25" customWidth="1"/>
    <col min="7" max="7" width="2.42578125" customWidth="1"/>
    <col min="8" max="9" width="9.140625" hidden="1" customWidth="1"/>
    <col min="10" max="10" width="16.140625" customWidth="1"/>
  </cols>
  <sheetData>
    <row r="1" spans="1:10" ht="23.25" x14ac:dyDescent="0.2">
      <c r="A1" s="6" t="s">
        <v>88</v>
      </c>
    </row>
    <row r="2" spans="1:10" x14ac:dyDescent="0.2">
      <c r="A2" s="15"/>
    </row>
    <row r="3" spans="1:10" x14ac:dyDescent="0.2">
      <c r="A3" s="15"/>
    </row>
    <row r="4" spans="1:10" x14ac:dyDescent="0.2">
      <c r="A4" s="15"/>
    </row>
    <row r="5" spans="1:10" x14ac:dyDescent="0.2">
      <c r="A5" s="15"/>
    </row>
    <row r="6" spans="1:10" x14ac:dyDescent="0.2">
      <c r="A6" s="15"/>
    </row>
    <row r="7" spans="1:10" x14ac:dyDescent="0.2">
      <c r="A7" s="15"/>
    </row>
    <row r="8" spans="1:10" x14ac:dyDescent="0.2">
      <c r="A8" s="15"/>
    </row>
    <row r="9" spans="1:10" x14ac:dyDescent="0.2">
      <c r="B9" s="10" t="s">
        <v>33</v>
      </c>
      <c r="C9" s="10" t="s">
        <v>34</v>
      </c>
      <c r="D9" s="101"/>
      <c r="E9" s="101"/>
      <c r="F9" s="101"/>
      <c r="G9" s="101"/>
      <c r="H9" s="101"/>
      <c r="I9" s="101"/>
      <c r="J9" s="101"/>
    </row>
    <row r="10" spans="1:10" x14ac:dyDescent="0.2">
      <c r="A10" s="26">
        <f ca="1">OFFSET(A10,-1,0,1,1)+1</f>
        <v>1</v>
      </c>
      <c r="B10" s="65" t="s">
        <v>45</v>
      </c>
      <c r="C10" s="102" t="s">
        <v>36</v>
      </c>
      <c r="D10" s="68"/>
      <c r="E10" s="68"/>
      <c r="F10" s="68"/>
      <c r="G10" s="68"/>
      <c r="H10" s="68"/>
      <c r="I10" s="68"/>
      <c r="J10" s="68"/>
    </row>
    <row r="11" spans="1:10" x14ac:dyDescent="0.2">
      <c r="A11" s="26">
        <f t="shared" ref="A11:A74" ca="1" si="0">OFFSET(A11,-1,0,1,1)+1</f>
        <v>2</v>
      </c>
      <c r="B11" s="65" t="s">
        <v>38</v>
      </c>
      <c r="C11" s="102" t="s">
        <v>36</v>
      </c>
      <c r="D11" s="68"/>
      <c r="E11" s="68"/>
      <c r="F11" s="68"/>
      <c r="G11" s="68"/>
      <c r="H11" s="68"/>
      <c r="I11" s="68"/>
      <c r="J11" s="68"/>
    </row>
    <row r="12" spans="1:10" x14ac:dyDescent="0.2">
      <c r="A12" s="26">
        <f t="shared" ca="1" si="0"/>
        <v>3</v>
      </c>
      <c r="B12" s="65" t="s">
        <v>46</v>
      </c>
      <c r="C12" s="102" t="s">
        <v>48</v>
      </c>
      <c r="D12" s="68"/>
      <c r="E12" s="68"/>
      <c r="F12" s="68"/>
      <c r="G12" s="68"/>
      <c r="H12" s="68"/>
      <c r="I12" s="68"/>
      <c r="J12" s="68"/>
    </row>
    <row r="13" spans="1:10" x14ac:dyDescent="0.2">
      <c r="A13" s="26">
        <f t="shared" ca="1" si="0"/>
        <v>4</v>
      </c>
      <c r="B13" s="65" t="s">
        <v>47</v>
      </c>
      <c r="C13" s="102" t="s">
        <v>48</v>
      </c>
      <c r="D13" s="68"/>
      <c r="E13" s="68"/>
      <c r="F13" s="68"/>
      <c r="G13" s="68"/>
      <c r="H13" s="68"/>
      <c r="I13" s="68"/>
      <c r="J13" s="68"/>
    </row>
    <row r="14" spans="1:10" x14ac:dyDescent="0.2">
      <c r="A14" s="26">
        <f t="shared" ca="1" si="0"/>
        <v>5</v>
      </c>
      <c r="B14" s="65" t="s">
        <v>46</v>
      </c>
      <c r="C14" s="102" t="s">
        <v>48</v>
      </c>
      <c r="D14" s="68"/>
      <c r="E14" s="68"/>
      <c r="F14" s="68"/>
      <c r="G14" s="68"/>
      <c r="H14" s="68"/>
      <c r="I14" s="68"/>
      <c r="J14" s="68"/>
    </row>
    <row r="15" spans="1:10" x14ac:dyDescent="0.2">
      <c r="A15" s="26">
        <f t="shared" ca="1" si="0"/>
        <v>6</v>
      </c>
      <c r="B15" s="65" t="s">
        <v>49</v>
      </c>
      <c r="C15" s="102" t="s">
        <v>48</v>
      </c>
      <c r="D15" s="68"/>
      <c r="E15" s="68"/>
      <c r="F15" s="68"/>
      <c r="G15" s="68"/>
      <c r="H15" s="68"/>
      <c r="I15" s="68"/>
      <c r="J15" s="68"/>
    </row>
    <row r="16" spans="1:10" x14ac:dyDescent="0.2">
      <c r="A16" s="26">
        <f t="shared" ca="1" si="0"/>
        <v>7</v>
      </c>
      <c r="B16" s="65" t="s">
        <v>50</v>
      </c>
      <c r="C16" s="102" t="s">
        <v>26</v>
      </c>
      <c r="D16" s="68"/>
      <c r="E16" s="68"/>
      <c r="F16" s="68"/>
      <c r="G16" s="68"/>
      <c r="H16" s="68"/>
      <c r="I16" s="68"/>
      <c r="J16" s="68"/>
    </row>
    <row r="17" spans="1:10" x14ac:dyDescent="0.2">
      <c r="A17" s="26">
        <f t="shared" ca="1" si="0"/>
        <v>8</v>
      </c>
      <c r="B17" s="65" t="s">
        <v>51</v>
      </c>
      <c r="C17" s="102" t="s">
        <v>26</v>
      </c>
      <c r="D17" s="68"/>
      <c r="E17" s="68"/>
      <c r="F17" s="68"/>
      <c r="G17" s="68"/>
      <c r="H17" s="68"/>
      <c r="I17" s="68"/>
      <c r="J17" s="68"/>
    </row>
    <row r="18" spans="1:10" x14ac:dyDescent="0.2">
      <c r="A18" s="26">
        <f t="shared" ca="1" si="0"/>
        <v>9</v>
      </c>
      <c r="B18" s="65" t="s">
        <v>56</v>
      </c>
      <c r="C18" s="102" t="s">
        <v>36</v>
      </c>
      <c r="D18" s="68"/>
      <c r="E18" s="68"/>
      <c r="F18" s="68"/>
      <c r="G18" s="68"/>
      <c r="H18" s="68"/>
      <c r="I18" s="68"/>
      <c r="J18" s="68"/>
    </row>
    <row r="19" spans="1:10" x14ac:dyDescent="0.2">
      <c r="A19" s="26">
        <f t="shared" ca="1" si="0"/>
        <v>10</v>
      </c>
      <c r="B19" s="65" t="s">
        <v>57</v>
      </c>
      <c r="C19" s="102" t="s">
        <v>36</v>
      </c>
      <c r="D19" s="68"/>
      <c r="E19" s="68"/>
      <c r="F19" s="68"/>
      <c r="G19" s="68"/>
      <c r="H19" s="68"/>
      <c r="I19" s="68"/>
      <c r="J19" s="68"/>
    </row>
    <row r="20" spans="1:10" x14ac:dyDescent="0.2">
      <c r="A20" s="26">
        <f t="shared" ca="1" si="0"/>
        <v>11</v>
      </c>
      <c r="B20" s="65" t="s">
        <v>58</v>
      </c>
      <c r="C20" s="102" t="s">
        <v>36</v>
      </c>
      <c r="D20" s="68"/>
      <c r="E20" s="68"/>
      <c r="F20" s="68"/>
      <c r="G20" s="68"/>
      <c r="H20" s="68"/>
      <c r="I20" s="68"/>
      <c r="J20" s="68"/>
    </row>
    <row r="21" spans="1:10" x14ac:dyDescent="0.2">
      <c r="A21" s="26">
        <f t="shared" ca="1" si="0"/>
        <v>12</v>
      </c>
      <c r="B21" s="65" t="s">
        <v>59</v>
      </c>
      <c r="C21" s="102" t="s">
        <v>36</v>
      </c>
      <c r="D21" s="68"/>
      <c r="E21" s="68"/>
      <c r="F21" s="68"/>
      <c r="G21" s="68"/>
      <c r="H21" s="68"/>
      <c r="I21" s="68"/>
      <c r="J21" s="68"/>
    </row>
    <row r="22" spans="1:10" x14ac:dyDescent="0.2">
      <c r="A22" s="26">
        <f t="shared" ca="1" si="0"/>
        <v>13</v>
      </c>
      <c r="B22" s="65" t="s">
        <v>60</v>
      </c>
      <c r="C22" s="102" t="s">
        <v>36</v>
      </c>
      <c r="D22" s="68"/>
      <c r="E22" s="68"/>
      <c r="F22" s="68"/>
      <c r="G22" s="68"/>
      <c r="H22" s="68"/>
      <c r="I22" s="68"/>
      <c r="J22" s="68"/>
    </row>
    <row r="23" spans="1:10" x14ac:dyDescent="0.2">
      <c r="A23" s="26">
        <f t="shared" ca="1" si="0"/>
        <v>14</v>
      </c>
      <c r="B23" s="65" t="s">
        <v>61</v>
      </c>
      <c r="C23" s="102" t="s">
        <v>36</v>
      </c>
      <c r="D23" s="68"/>
      <c r="E23" s="68"/>
      <c r="F23" s="68"/>
      <c r="G23" s="68"/>
      <c r="H23" s="68"/>
      <c r="I23" s="68"/>
      <c r="J23" s="68"/>
    </row>
    <row r="24" spans="1:10" x14ac:dyDescent="0.2">
      <c r="A24" s="26">
        <f t="shared" ca="1" si="0"/>
        <v>15</v>
      </c>
      <c r="B24" s="65" t="s">
        <v>62</v>
      </c>
      <c r="C24" s="102" t="s">
        <v>36</v>
      </c>
      <c r="D24" s="68"/>
      <c r="E24" s="68"/>
      <c r="F24" s="68"/>
      <c r="G24" s="68"/>
      <c r="H24" s="68"/>
      <c r="I24" s="68"/>
      <c r="J24" s="68"/>
    </row>
    <row r="25" spans="1:10" x14ac:dyDescent="0.2">
      <c r="A25" s="26">
        <f t="shared" ca="1" si="0"/>
        <v>16</v>
      </c>
      <c r="B25" s="65" t="s">
        <v>63</v>
      </c>
      <c r="C25" s="102" t="s">
        <v>36</v>
      </c>
      <c r="D25" s="68"/>
      <c r="E25" s="68"/>
      <c r="F25" s="68"/>
      <c r="G25" s="68"/>
      <c r="H25" s="68"/>
      <c r="I25" s="68"/>
      <c r="J25" s="68"/>
    </row>
    <row r="26" spans="1:10" x14ac:dyDescent="0.2">
      <c r="A26" s="26">
        <f t="shared" ca="1" si="0"/>
        <v>17</v>
      </c>
      <c r="B26" s="65" t="s">
        <v>90</v>
      </c>
      <c r="C26" s="68"/>
      <c r="D26" s="68"/>
      <c r="E26" s="68"/>
      <c r="F26" s="68"/>
      <c r="G26" s="68"/>
      <c r="H26" s="68"/>
      <c r="I26" s="68"/>
      <c r="J26" s="68"/>
    </row>
    <row r="27" spans="1:10" x14ac:dyDescent="0.2">
      <c r="A27" s="26">
        <f t="shared" ca="1" si="0"/>
        <v>18</v>
      </c>
      <c r="B27" s="12"/>
      <c r="C27" s="68"/>
      <c r="D27" s="68"/>
      <c r="E27" s="68"/>
      <c r="F27" s="68"/>
      <c r="G27" s="68"/>
      <c r="H27" s="68"/>
      <c r="I27" s="68"/>
      <c r="J27" s="68"/>
    </row>
    <row r="28" spans="1:10" x14ac:dyDescent="0.2">
      <c r="A28" s="26">
        <f t="shared" ca="1" si="0"/>
        <v>19</v>
      </c>
      <c r="B28" s="12"/>
      <c r="C28" s="68"/>
      <c r="D28" s="68"/>
      <c r="E28" s="68"/>
      <c r="F28" s="68"/>
      <c r="G28" s="68"/>
      <c r="H28" s="68"/>
      <c r="I28" s="68"/>
      <c r="J28" s="68"/>
    </row>
    <row r="29" spans="1:10" x14ac:dyDescent="0.2">
      <c r="A29" s="26">
        <f t="shared" ca="1" si="0"/>
        <v>20</v>
      </c>
      <c r="B29" s="12"/>
      <c r="C29" s="68"/>
      <c r="D29" s="68"/>
      <c r="E29" s="68"/>
      <c r="F29" s="68"/>
      <c r="G29" s="68"/>
      <c r="H29" s="68"/>
      <c r="I29" s="68"/>
      <c r="J29" s="68"/>
    </row>
    <row r="30" spans="1:10" x14ac:dyDescent="0.2">
      <c r="A30" s="26">
        <f t="shared" ca="1" si="0"/>
        <v>21</v>
      </c>
      <c r="B30" s="12"/>
      <c r="C30" s="68"/>
      <c r="D30" s="68"/>
      <c r="E30" s="68"/>
      <c r="F30" s="68"/>
      <c r="G30" s="68"/>
      <c r="H30" s="68"/>
      <c r="I30" s="68"/>
      <c r="J30" s="68"/>
    </row>
    <row r="31" spans="1:10" x14ac:dyDescent="0.2">
      <c r="A31" s="26">
        <f t="shared" ca="1" si="0"/>
        <v>22</v>
      </c>
      <c r="B31" s="65"/>
      <c r="C31" s="68"/>
      <c r="D31" s="68"/>
      <c r="E31" s="68"/>
      <c r="F31" s="68"/>
      <c r="G31" s="68"/>
      <c r="H31" s="68"/>
      <c r="I31" s="68"/>
      <c r="J31" s="68"/>
    </row>
    <row r="32" spans="1:10" x14ac:dyDescent="0.2">
      <c r="A32" s="26">
        <f t="shared" ca="1" si="0"/>
        <v>23</v>
      </c>
      <c r="B32" s="12"/>
      <c r="C32" s="68"/>
      <c r="D32" s="68"/>
      <c r="E32" s="68"/>
      <c r="F32" s="68"/>
      <c r="G32" s="68"/>
      <c r="H32" s="68"/>
      <c r="I32" s="68"/>
      <c r="J32" s="68"/>
    </row>
    <row r="33" spans="1:10" x14ac:dyDescent="0.2">
      <c r="A33" s="26">
        <f t="shared" ca="1" si="0"/>
        <v>24</v>
      </c>
      <c r="B33" s="12"/>
      <c r="C33" s="68"/>
      <c r="D33" s="68"/>
      <c r="E33" s="68"/>
      <c r="F33" s="68"/>
      <c r="G33" s="68"/>
      <c r="H33" s="68"/>
      <c r="I33" s="68"/>
      <c r="J33" s="68"/>
    </row>
    <row r="34" spans="1:10" x14ac:dyDescent="0.2">
      <c r="A34" s="26">
        <f t="shared" ca="1" si="0"/>
        <v>25</v>
      </c>
      <c r="B34" s="12"/>
      <c r="C34" s="68"/>
      <c r="D34" s="68"/>
      <c r="E34" s="68"/>
      <c r="F34" s="68"/>
      <c r="G34" s="68"/>
      <c r="H34" s="68"/>
      <c r="I34" s="68"/>
      <c r="J34" s="68"/>
    </row>
    <row r="35" spans="1:10" x14ac:dyDescent="0.2">
      <c r="A35" s="26">
        <f t="shared" ca="1" si="0"/>
        <v>26</v>
      </c>
      <c r="B35" s="12"/>
      <c r="C35" s="68"/>
      <c r="D35" s="68"/>
      <c r="E35" s="68"/>
      <c r="F35" s="68"/>
      <c r="G35" s="68"/>
      <c r="H35" s="68"/>
      <c r="I35" s="68"/>
      <c r="J35" s="68"/>
    </row>
    <row r="36" spans="1:10" x14ac:dyDescent="0.2">
      <c r="A36" s="26">
        <f t="shared" ca="1" si="0"/>
        <v>27</v>
      </c>
      <c r="B36" s="65"/>
      <c r="C36" s="68"/>
      <c r="D36" s="68"/>
      <c r="E36" s="68"/>
      <c r="F36" s="68"/>
      <c r="G36" s="68"/>
      <c r="H36" s="68"/>
      <c r="I36" s="68"/>
      <c r="J36" s="68"/>
    </row>
    <row r="37" spans="1:10" x14ac:dyDescent="0.2">
      <c r="A37" s="26">
        <f t="shared" ca="1" si="0"/>
        <v>28</v>
      </c>
      <c r="B37" s="65"/>
      <c r="C37" s="68"/>
      <c r="D37" s="68"/>
      <c r="E37" s="68"/>
      <c r="F37" s="68"/>
      <c r="G37" s="68"/>
      <c r="H37" s="68"/>
      <c r="I37" s="68"/>
      <c r="J37" s="68"/>
    </row>
    <row r="38" spans="1:10" x14ac:dyDescent="0.2">
      <c r="A38" s="26">
        <f t="shared" ca="1" si="0"/>
        <v>29</v>
      </c>
      <c r="B38" s="12"/>
      <c r="C38" s="68"/>
      <c r="D38" s="68"/>
      <c r="E38" s="68"/>
      <c r="F38" s="68"/>
      <c r="G38" s="68"/>
      <c r="H38" s="68"/>
      <c r="I38" s="68"/>
      <c r="J38" s="68"/>
    </row>
    <row r="39" spans="1:10" x14ac:dyDescent="0.2">
      <c r="A39" s="26">
        <f t="shared" ca="1" si="0"/>
        <v>30</v>
      </c>
      <c r="B39" s="12"/>
      <c r="C39" s="68"/>
      <c r="D39" s="68"/>
      <c r="E39" s="68"/>
      <c r="F39" s="68"/>
      <c r="G39" s="68"/>
      <c r="H39" s="68"/>
      <c r="I39" s="68"/>
      <c r="J39" s="68"/>
    </row>
    <row r="40" spans="1:10" x14ac:dyDescent="0.2">
      <c r="A40" s="26">
        <f t="shared" ca="1" si="0"/>
        <v>31</v>
      </c>
      <c r="B40" s="12"/>
      <c r="C40" s="68"/>
      <c r="D40" s="68"/>
      <c r="E40" s="68"/>
      <c r="F40" s="68"/>
      <c r="G40" s="68"/>
      <c r="H40" s="68"/>
      <c r="I40" s="68"/>
      <c r="J40" s="68"/>
    </row>
    <row r="41" spans="1:10" x14ac:dyDescent="0.2">
      <c r="A41" s="26">
        <f t="shared" ca="1" si="0"/>
        <v>32</v>
      </c>
      <c r="B41" s="12"/>
      <c r="C41" s="68"/>
      <c r="D41" s="68"/>
      <c r="E41" s="68"/>
      <c r="F41" s="68"/>
      <c r="G41" s="68"/>
      <c r="H41" s="68"/>
      <c r="I41" s="68"/>
      <c r="J41" s="68"/>
    </row>
    <row r="42" spans="1:10" x14ac:dyDescent="0.2">
      <c r="A42" s="26">
        <f t="shared" ca="1" si="0"/>
        <v>33</v>
      </c>
      <c r="B42" s="12"/>
      <c r="C42" s="68"/>
      <c r="D42" s="68"/>
      <c r="E42" s="68"/>
      <c r="F42" s="68"/>
      <c r="G42" s="68"/>
      <c r="H42" s="68"/>
      <c r="I42" s="68"/>
      <c r="J42" s="68"/>
    </row>
    <row r="43" spans="1:10" x14ac:dyDescent="0.2">
      <c r="A43" s="26">
        <f t="shared" ca="1" si="0"/>
        <v>34</v>
      </c>
      <c r="B43" s="12"/>
      <c r="C43" s="68"/>
      <c r="D43" s="68"/>
      <c r="E43" s="68"/>
      <c r="F43" s="68"/>
      <c r="G43" s="68"/>
      <c r="H43" s="68"/>
      <c r="I43" s="68"/>
      <c r="J43" s="68"/>
    </row>
    <row r="44" spans="1:10" x14ac:dyDescent="0.2">
      <c r="A44" s="26">
        <f t="shared" ca="1" si="0"/>
        <v>35</v>
      </c>
      <c r="B44" s="12"/>
      <c r="C44" s="68"/>
      <c r="D44" s="68"/>
      <c r="E44" s="68"/>
      <c r="F44" s="68"/>
      <c r="G44" s="68"/>
      <c r="H44" s="68"/>
      <c r="I44" s="68"/>
      <c r="J44" s="68"/>
    </row>
    <row r="45" spans="1:10" x14ac:dyDescent="0.2">
      <c r="A45" s="26">
        <f t="shared" ca="1" si="0"/>
        <v>36</v>
      </c>
      <c r="B45" s="12"/>
      <c r="C45" s="68"/>
      <c r="D45" s="68"/>
      <c r="E45" s="68"/>
      <c r="F45" s="68"/>
      <c r="G45" s="68"/>
      <c r="H45" s="68"/>
      <c r="I45" s="68"/>
      <c r="J45" s="68"/>
    </row>
    <row r="46" spans="1:10" x14ac:dyDescent="0.2">
      <c r="A46" s="26">
        <f t="shared" ca="1" si="0"/>
        <v>37</v>
      </c>
      <c r="B46" s="12"/>
      <c r="C46" s="68"/>
      <c r="D46" s="68"/>
      <c r="E46" s="68"/>
      <c r="F46" s="68"/>
      <c r="G46" s="68"/>
      <c r="H46" s="68"/>
      <c r="I46" s="68"/>
      <c r="J46" s="68"/>
    </row>
    <row r="47" spans="1:10" x14ac:dyDescent="0.2">
      <c r="A47" s="26">
        <f t="shared" ca="1" si="0"/>
        <v>38</v>
      </c>
      <c r="B47" s="12"/>
      <c r="C47" s="68"/>
      <c r="D47" s="68"/>
      <c r="E47" s="68"/>
      <c r="F47" s="68"/>
      <c r="G47" s="68"/>
      <c r="H47" s="68"/>
      <c r="I47" s="68"/>
      <c r="J47" s="68"/>
    </row>
    <row r="48" spans="1:10" x14ac:dyDescent="0.2">
      <c r="A48" s="26">
        <f t="shared" ca="1" si="0"/>
        <v>39</v>
      </c>
      <c r="B48" s="12"/>
      <c r="C48" s="68"/>
      <c r="D48" s="68"/>
      <c r="E48" s="68"/>
      <c r="F48" s="68"/>
      <c r="G48" s="68"/>
      <c r="H48" s="68"/>
      <c r="I48" s="68"/>
      <c r="J48" s="68"/>
    </row>
    <row r="49" spans="1:10" x14ac:dyDescent="0.2">
      <c r="A49" s="26">
        <f t="shared" ca="1" si="0"/>
        <v>40</v>
      </c>
      <c r="B49" s="12"/>
      <c r="C49" s="68"/>
      <c r="D49" s="68"/>
      <c r="E49" s="68"/>
      <c r="F49" s="68"/>
      <c r="G49" s="68"/>
      <c r="H49" s="68"/>
      <c r="I49" s="68"/>
      <c r="J49" s="68"/>
    </row>
    <row r="50" spans="1:10" x14ac:dyDescent="0.2">
      <c r="A50" s="26">
        <f t="shared" ca="1" si="0"/>
        <v>41</v>
      </c>
      <c r="B50" s="12"/>
      <c r="C50" s="68"/>
      <c r="D50" s="68"/>
      <c r="E50" s="68"/>
      <c r="F50" s="68"/>
      <c r="G50" s="68"/>
      <c r="H50" s="68"/>
      <c r="I50" s="68"/>
      <c r="J50" s="68"/>
    </row>
    <row r="51" spans="1:10" x14ac:dyDescent="0.2">
      <c r="A51" s="26">
        <f t="shared" ca="1" si="0"/>
        <v>42</v>
      </c>
      <c r="B51" s="12"/>
      <c r="C51" s="68"/>
      <c r="D51" s="68"/>
      <c r="E51" s="68"/>
      <c r="F51" s="68"/>
      <c r="G51" s="68"/>
      <c r="H51" s="68"/>
      <c r="I51" s="68"/>
      <c r="J51" s="68"/>
    </row>
    <row r="52" spans="1:10" x14ac:dyDescent="0.2">
      <c r="A52" s="26">
        <f t="shared" ca="1" si="0"/>
        <v>43</v>
      </c>
      <c r="B52" s="12"/>
      <c r="C52" s="68"/>
      <c r="D52" s="68"/>
      <c r="E52" s="68"/>
      <c r="F52" s="68"/>
      <c r="G52" s="68"/>
      <c r="H52" s="68"/>
      <c r="I52" s="68"/>
      <c r="J52" s="68"/>
    </row>
    <row r="53" spans="1:10" x14ac:dyDescent="0.2">
      <c r="A53" s="26">
        <f t="shared" ca="1" si="0"/>
        <v>44</v>
      </c>
      <c r="B53" s="12"/>
      <c r="C53" s="68"/>
      <c r="D53" s="68"/>
      <c r="E53" s="68"/>
      <c r="F53" s="68"/>
      <c r="G53" s="68"/>
      <c r="H53" s="68"/>
      <c r="I53" s="68"/>
      <c r="J53" s="68"/>
    </row>
    <row r="54" spans="1:10" x14ac:dyDescent="0.2">
      <c r="A54" s="26">
        <f t="shared" ca="1" si="0"/>
        <v>45</v>
      </c>
      <c r="B54" s="12"/>
      <c r="C54" s="68"/>
      <c r="D54" s="68"/>
      <c r="E54" s="68"/>
      <c r="F54" s="68"/>
      <c r="G54" s="68"/>
      <c r="H54" s="68"/>
      <c r="I54" s="68"/>
      <c r="J54" s="68"/>
    </row>
    <row r="55" spans="1:10" x14ac:dyDescent="0.2">
      <c r="A55" s="26">
        <f t="shared" ca="1" si="0"/>
        <v>46</v>
      </c>
      <c r="B55" s="12"/>
      <c r="C55" s="68"/>
      <c r="D55" s="68"/>
      <c r="E55" s="68"/>
      <c r="F55" s="68"/>
      <c r="G55" s="68"/>
      <c r="H55" s="68"/>
      <c r="I55" s="68"/>
      <c r="J55" s="68"/>
    </row>
    <row r="56" spans="1:10" x14ac:dyDescent="0.2">
      <c r="A56" s="26">
        <f t="shared" ca="1" si="0"/>
        <v>47</v>
      </c>
      <c r="B56" s="12"/>
      <c r="C56" s="68"/>
      <c r="D56" s="68"/>
      <c r="E56" s="68"/>
      <c r="F56" s="68"/>
      <c r="G56" s="68"/>
      <c r="H56" s="68"/>
      <c r="I56" s="68"/>
      <c r="J56" s="68"/>
    </row>
    <row r="57" spans="1:10" x14ac:dyDescent="0.2">
      <c r="A57" s="26">
        <f t="shared" ca="1" si="0"/>
        <v>48</v>
      </c>
      <c r="B57" s="12"/>
      <c r="C57" s="68"/>
      <c r="D57" s="68"/>
      <c r="E57" s="68"/>
      <c r="F57" s="68"/>
      <c r="G57" s="68"/>
      <c r="H57" s="68"/>
      <c r="I57" s="68"/>
      <c r="J57" s="68"/>
    </row>
    <row r="58" spans="1:10" x14ac:dyDescent="0.2">
      <c r="A58" s="26">
        <f t="shared" ca="1" si="0"/>
        <v>49</v>
      </c>
      <c r="B58" s="12"/>
      <c r="C58" s="68"/>
      <c r="D58" s="68"/>
      <c r="E58" s="68"/>
      <c r="F58" s="68"/>
      <c r="G58" s="68"/>
      <c r="H58" s="68"/>
      <c r="I58" s="68"/>
      <c r="J58" s="68"/>
    </row>
    <row r="59" spans="1:10" x14ac:dyDescent="0.2">
      <c r="A59" s="26">
        <f t="shared" ca="1" si="0"/>
        <v>50</v>
      </c>
      <c r="B59" s="12"/>
      <c r="C59" s="68"/>
      <c r="D59" s="68"/>
      <c r="E59" s="68"/>
      <c r="F59" s="68"/>
      <c r="G59" s="68"/>
      <c r="H59" s="68"/>
      <c r="I59" s="68"/>
      <c r="J59" s="68"/>
    </row>
    <row r="60" spans="1:10" x14ac:dyDescent="0.2">
      <c r="A60" s="26">
        <f t="shared" ca="1" si="0"/>
        <v>51</v>
      </c>
      <c r="B60" s="12"/>
      <c r="C60" s="68"/>
      <c r="D60" s="68"/>
      <c r="E60" s="68"/>
      <c r="F60" s="68"/>
      <c r="G60" s="68"/>
      <c r="H60" s="68"/>
      <c r="I60" s="68"/>
      <c r="J60" s="68"/>
    </row>
    <row r="61" spans="1:10" x14ac:dyDescent="0.2">
      <c r="A61" s="26">
        <f t="shared" ca="1" si="0"/>
        <v>52</v>
      </c>
      <c r="B61" s="12"/>
      <c r="C61" s="68"/>
      <c r="D61" s="68"/>
      <c r="E61" s="68"/>
      <c r="F61" s="68"/>
      <c r="G61" s="68"/>
      <c r="H61" s="68"/>
      <c r="I61" s="68"/>
      <c r="J61" s="68"/>
    </row>
    <row r="62" spans="1:10" x14ac:dyDescent="0.2">
      <c r="A62" s="26">
        <f t="shared" ca="1" si="0"/>
        <v>53</v>
      </c>
      <c r="B62" s="12"/>
      <c r="C62" s="68"/>
      <c r="D62" s="68"/>
      <c r="E62" s="68"/>
      <c r="F62" s="68"/>
      <c r="G62" s="68"/>
      <c r="H62" s="68"/>
      <c r="I62" s="68"/>
      <c r="J62" s="68"/>
    </row>
    <row r="63" spans="1:10" x14ac:dyDescent="0.2">
      <c r="A63" s="26">
        <f t="shared" ca="1" si="0"/>
        <v>54</v>
      </c>
      <c r="B63" s="12"/>
      <c r="C63" s="68"/>
      <c r="D63" s="68"/>
      <c r="E63" s="68"/>
      <c r="F63" s="68"/>
      <c r="G63" s="68"/>
      <c r="H63" s="68"/>
      <c r="I63" s="68"/>
      <c r="J63" s="68"/>
    </row>
    <row r="64" spans="1:10" x14ac:dyDescent="0.2">
      <c r="A64" s="26">
        <f t="shared" ca="1" si="0"/>
        <v>55</v>
      </c>
      <c r="B64" s="12"/>
      <c r="C64" s="68"/>
      <c r="D64" s="68"/>
      <c r="E64" s="68"/>
      <c r="F64" s="68"/>
      <c r="G64" s="68"/>
      <c r="H64" s="68"/>
      <c r="I64" s="68"/>
      <c r="J64" s="68"/>
    </row>
    <row r="65" spans="1:10" x14ac:dyDescent="0.2">
      <c r="A65" s="26">
        <f t="shared" ca="1" si="0"/>
        <v>56</v>
      </c>
      <c r="B65" s="12"/>
      <c r="C65" s="68"/>
      <c r="D65" s="68"/>
      <c r="E65" s="68"/>
      <c r="F65" s="68"/>
      <c r="G65" s="68"/>
      <c r="H65" s="68"/>
      <c r="I65" s="68"/>
      <c r="J65" s="68"/>
    </row>
    <row r="66" spans="1:10" x14ac:dyDescent="0.2">
      <c r="A66" s="26">
        <f t="shared" ca="1" si="0"/>
        <v>57</v>
      </c>
      <c r="B66" s="12"/>
      <c r="C66" s="68"/>
      <c r="D66" s="68"/>
      <c r="E66" s="68"/>
      <c r="F66" s="68"/>
      <c r="G66" s="68"/>
      <c r="H66" s="68"/>
      <c r="I66" s="68"/>
      <c r="J66" s="68"/>
    </row>
    <row r="67" spans="1:10" x14ac:dyDescent="0.2">
      <c r="A67" s="26">
        <f t="shared" ca="1" si="0"/>
        <v>58</v>
      </c>
      <c r="B67" s="12"/>
      <c r="C67" s="68"/>
      <c r="D67" s="68"/>
      <c r="E67" s="68"/>
      <c r="F67" s="68"/>
      <c r="G67" s="68"/>
      <c r="H67" s="68"/>
      <c r="I67" s="68"/>
      <c r="J67" s="68"/>
    </row>
    <row r="68" spans="1:10" x14ac:dyDescent="0.2">
      <c r="A68" s="26">
        <f t="shared" ca="1" si="0"/>
        <v>59</v>
      </c>
      <c r="B68" s="12"/>
      <c r="C68" s="68"/>
      <c r="D68" s="68"/>
      <c r="E68" s="68"/>
      <c r="F68" s="68"/>
      <c r="G68" s="68"/>
      <c r="H68" s="68"/>
      <c r="I68" s="68"/>
      <c r="J68" s="68"/>
    </row>
    <row r="69" spans="1:10" x14ac:dyDescent="0.2">
      <c r="A69" s="26">
        <f t="shared" ca="1" si="0"/>
        <v>60</v>
      </c>
      <c r="B69" s="12"/>
      <c r="C69" s="68"/>
      <c r="D69" s="68"/>
      <c r="E69" s="68"/>
      <c r="F69" s="68"/>
      <c r="G69" s="68"/>
      <c r="H69" s="68"/>
      <c r="I69" s="68"/>
      <c r="J69" s="68"/>
    </row>
    <row r="70" spans="1:10" x14ac:dyDescent="0.2">
      <c r="A70" s="26">
        <f t="shared" ca="1" si="0"/>
        <v>61</v>
      </c>
      <c r="B70" s="12"/>
      <c r="C70" s="68"/>
      <c r="D70" s="68"/>
      <c r="E70" s="68"/>
      <c r="F70" s="68"/>
      <c r="G70" s="68"/>
      <c r="H70" s="68"/>
      <c r="I70" s="68"/>
      <c r="J70" s="68"/>
    </row>
    <row r="71" spans="1:10" x14ac:dyDescent="0.2">
      <c r="A71" s="26">
        <f t="shared" ca="1" si="0"/>
        <v>62</v>
      </c>
      <c r="B71" s="12"/>
      <c r="C71" s="68"/>
      <c r="D71" s="68"/>
      <c r="E71" s="68"/>
      <c r="F71" s="68"/>
      <c r="G71" s="68"/>
      <c r="H71" s="68"/>
      <c r="I71" s="68"/>
      <c r="J71" s="68"/>
    </row>
    <row r="72" spans="1:10" x14ac:dyDescent="0.2">
      <c r="A72" s="26">
        <f t="shared" ca="1" si="0"/>
        <v>63</v>
      </c>
      <c r="B72" s="12"/>
      <c r="C72" s="68"/>
      <c r="D72" s="68"/>
      <c r="E72" s="68"/>
      <c r="F72" s="68"/>
      <c r="G72" s="68"/>
      <c r="H72" s="68"/>
      <c r="I72" s="68"/>
      <c r="J72" s="68"/>
    </row>
    <row r="73" spans="1:10" x14ac:dyDescent="0.2">
      <c r="A73" s="26">
        <f t="shared" ca="1" si="0"/>
        <v>64</v>
      </c>
      <c r="B73" s="12"/>
      <c r="C73" s="68"/>
      <c r="D73" s="68"/>
      <c r="E73" s="68"/>
      <c r="F73" s="68"/>
      <c r="G73" s="68"/>
      <c r="H73" s="68"/>
      <c r="I73" s="68"/>
      <c r="J73" s="68"/>
    </row>
    <row r="74" spans="1:10" x14ac:dyDescent="0.2">
      <c r="A74" s="26">
        <f t="shared" ca="1" si="0"/>
        <v>65</v>
      </c>
      <c r="B74" s="12"/>
      <c r="C74" s="68"/>
      <c r="D74" s="68"/>
      <c r="E74" s="68"/>
      <c r="F74" s="68"/>
      <c r="G74" s="68"/>
      <c r="H74" s="68"/>
      <c r="I74" s="68"/>
      <c r="J74" s="68"/>
    </row>
    <row r="75" spans="1:10" x14ac:dyDescent="0.2">
      <c r="A75" s="26">
        <f t="shared" ref="A75:A99" ca="1" si="1">OFFSET(A75,-1,0,1,1)+1</f>
        <v>66</v>
      </c>
      <c r="B75" s="12"/>
      <c r="C75" s="68"/>
      <c r="D75" s="68"/>
      <c r="E75" s="68"/>
      <c r="F75" s="68"/>
      <c r="G75" s="68"/>
      <c r="H75" s="68"/>
      <c r="I75" s="68"/>
      <c r="J75" s="68"/>
    </row>
    <row r="76" spans="1:10" x14ac:dyDescent="0.2">
      <c r="A76" s="26">
        <f t="shared" ca="1" si="1"/>
        <v>67</v>
      </c>
      <c r="B76" s="12"/>
      <c r="C76" s="68"/>
      <c r="D76" s="68"/>
      <c r="E76" s="68"/>
      <c r="F76" s="68"/>
      <c r="G76" s="68"/>
      <c r="H76" s="68"/>
      <c r="I76" s="68"/>
      <c r="J76" s="68"/>
    </row>
    <row r="77" spans="1:10" x14ac:dyDescent="0.2">
      <c r="A77" s="26">
        <f t="shared" ca="1" si="1"/>
        <v>68</v>
      </c>
      <c r="B77" s="12"/>
      <c r="C77" s="68"/>
      <c r="D77" s="68"/>
      <c r="E77" s="68"/>
      <c r="F77" s="68"/>
      <c r="G77" s="68"/>
      <c r="H77" s="68"/>
      <c r="I77" s="68"/>
      <c r="J77" s="68"/>
    </row>
    <row r="78" spans="1:10" x14ac:dyDescent="0.2">
      <c r="A78" s="26">
        <f t="shared" ca="1" si="1"/>
        <v>69</v>
      </c>
      <c r="B78" s="12"/>
      <c r="C78" s="68"/>
      <c r="D78" s="68"/>
      <c r="E78" s="68"/>
      <c r="F78" s="68"/>
      <c r="G78" s="68"/>
      <c r="H78" s="68"/>
      <c r="I78" s="68"/>
      <c r="J78" s="68"/>
    </row>
    <row r="79" spans="1:10" x14ac:dyDescent="0.2">
      <c r="A79" s="26">
        <f t="shared" ca="1" si="1"/>
        <v>70</v>
      </c>
      <c r="B79" s="12"/>
      <c r="C79" s="68"/>
      <c r="D79" s="68"/>
      <c r="E79" s="68"/>
      <c r="F79" s="68"/>
      <c r="G79" s="68"/>
      <c r="H79" s="68"/>
      <c r="I79" s="68"/>
      <c r="J79" s="68"/>
    </row>
    <row r="80" spans="1:10" x14ac:dyDescent="0.2">
      <c r="A80" s="26">
        <f t="shared" ca="1" si="1"/>
        <v>71</v>
      </c>
      <c r="B80" s="12"/>
      <c r="C80" s="68"/>
      <c r="D80" s="68"/>
      <c r="E80" s="68"/>
      <c r="F80" s="68"/>
      <c r="G80" s="68"/>
      <c r="H80" s="68"/>
      <c r="I80" s="68"/>
      <c r="J80" s="68"/>
    </row>
    <row r="81" spans="1:10" x14ac:dyDescent="0.2">
      <c r="A81" s="26">
        <f t="shared" ca="1" si="1"/>
        <v>72</v>
      </c>
      <c r="B81" s="12"/>
      <c r="C81" s="68"/>
      <c r="D81" s="68"/>
      <c r="E81" s="68"/>
      <c r="F81" s="68"/>
      <c r="G81" s="68"/>
      <c r="H81" s="68"/>
      <c r="I81" s="68"/>
      <c r="J81" s="68"/>
    </row>
    <row r="82" spans="1:10" x14ac:dyDescent="0.2">
      <c r="A82" s="26">
        <f t="shared" ca="1" si="1"/>
        <v>73</v>
      </c>
      <c r="B82" s="12"/>
      <c r="C82" s="68"/>
      <c r="D82" s="68"/>
      <c r="E82" s="68"/>
      <c r="F82" s="68"/>
      <c r="G82" s="68"/>
      <c r="H82" s="68"/>
      <c r="I82" s="68"/>
      <c r="J82" s="68"/>
    </row>
    <row r="83" spans="1:10" x14ac:dyDescent="0.2">
      <c r="A83" s="26">
        <f t="shared" ca="1" si="1"/>
        <v>74</v>
      </c>
      <c r="B83" s="12"/>
      <c r="C83" s="68"/>
      <c r="D83" s="68"/>
      <c r="E83" s="68"/>
      <c r="F83" s="68"/>
      <c r="G83" s="68"/>
      <c r="H83" s="68"/>
      <c r="I83" s="68"/>
      <c r="J83" s="68"/>
    </row>
    <row r="84" spans="1:10" x14ac:dyDescent="0.2">
      <c r="A84" s="26">
        <f t="shared" ca="1" si="1"/>
        <v>75</v>
      </c>
      <c r="B84" s="12"/>
      <c r="C84" s="68"/>
      <c r="D84" s="68"/>
      <c r="E84" s="68"/>
      <c r="F84" s="68"/>
      <c r="G84" s="68"/>
      <c r="H84" s="68"/>
      <c r="I84" s="68"/>
      <c r="J84" s="68"/>
    </row>
    <row r="85" spans="1:10" x14ac:dyDescent="0.2">
      <c r="A85" s="26">
        <f t="shared" ca="1" si="1"/>
        <v>76</v>
      </c>
      <c r="B85" s="12"/>
      <c r="C85" s="68"/>
      <c r="D85" s="68"/>
      <c r="E85" s="68"/>
      <c r="F85" s="68"/>
      <c r="G85" s="68"/>
      <c r="H85" s="68"/>
      <c r="I85" s="68"/>
      <c r="J85" s="68"/>
    </row>
    <row r="86" spans="1:10" x14ac:dyDescent="0.2">
      <c r="A86" s="26">
        <f t="shared" ca="1" si="1"/>
        <v>77</v>
      </c>
      <c r="B86" s="12"/>
      <c r="C86" s="68"/>
      <c r="D86" s="68"/>
      <c r="E86" s="68"/>
      <c r="F86" s="68"/>
      <c r="G86" s="68"/>
      <c r="H86" s="68"/>
      <c r="I86" s="68"/>
      <c r="J86" s="68"/>
    </row>
    <row r="87" spans="1:10" x14ac:dyDescent="0.2">
      <c r="A87" s="26">
        <f t="shared" ca="1" si="1"/>
        <v>78</v>
      </c>
      <c r="B87" s="12"/>
      <c r="C87" s="68"/>
      <c r="D87" s="68"/>
      <c r="E87" s="68"/>
      <c r="F87" s="68"/>
      <c r="G87" s="68"/>
      <c r="H87" s="68"/>
      <c r="I87" s="68"/>
      <c r="J87" s="68"/>
    </row>
    <row r="88" spans="1:10" x14ac:dyDescent="0.2">
      <c r="A88" s="26">
        <f t="shared" ca="1" si="1"/>
        <v>79</v>
      </c>
      <c r="B88" s="12"/>
      <c r="C88" s="68"/>
      <c r="D88" s="68"/>
      <c r="E88" s="68"/>
      <c r="F88" s="68"/>
      <c r="G88" s="68"/>
      <c r="H88" s="68"/>
      <c r="I88" s="68"/>
      <c r="J88" s="68"/>
    </row>
    <row r="89" spans="1:10" x14ac:dyDescent="0.2">
      <c r="A89" s="26">
        <f t="shared" ca="1" si="1"/>
        <v>80</v>
      </c>
      <c r="B89" s="12"/>
      <c r="C89" s="68"/>
      <c r="D89" s="68"/>
      <c r="E89" s="68"/>
      <c r="F89" s="68"/>
      <c r="G89" s="68"/>
      <c r="H89" s="68"/>
      <c r="I89" s="68"/>
      <c r="J89" s="68"/>
    </row>
    <row r="90" spans="1:10" x14ac:dyDescent="0.2">
      <c r="A90" s="26">
        <f t="shared" ca="1" si="1"/>
        <v>81</v>
      </c>
      <c r="B90" s="12"/>
      <c r="C90" s="68"/>
      <c r="D90" s="68"/>
      <c r="E90" s="68"/>
      <c r="F90" s="68"/>
      <c r="G90" s="68"/>
      <c r="H90" s="68"/>
      <c r="I90" s="68"/>
      <c r="J90" s="68"/>
    </row>
    <row r="91" spans="1:10" x14ac:dyDescent="0.2">
      <c r="A91" s="26">
        <f t="shared" ca="1" si="1"/>
        <v>82</v>
      </c>
      <c r="B91" s="12"/>
      <c r="C91" s="68"/>
      <c r="D91" s="68"/>
      <c r="E91" s="68"/>
      <c r="F91" s="68"/>
      <c r="G91" s="68"/>
      <c r="H91" s="68"/>
      <c r="I91" s="68"/>
      <c r="J91" s="68"/>
    </row>
    <row r="92" spans="1:10" x14ac:dyDescent="0.2">
      <c r="A92" s="26">
        <f t="shared" ca="1" si="1"/>
        <v>83</v>
      </c>
      <c r="B92" s="12"/>
      <c r="C92" s="68"/>
      <c r="D92" s="68"/>
      <c r="E92" s="68"/>
      <c r="F92" s="68"/>
      <c r="G92" s="68"/>
      <c r="H92" s="68"/>
      <c r="I92" s="68"/>
      <c r="J92" s="68"/>
    </row>
    <row r="93" spans="1:10" x14ac:dyDescent="0.2">
      <c r="A93" s="26">
        <f t="shared" ca="1" si="1"/>
        <v>84</v>
      </c>
      <c r="B93" s="12"/>
      <c r="C93" s="68"/>
      <c r="D93" s="68"/>
      <c r="E93" s="68"/>
      <c r="F93" s="68"/>
      <c r="G93" s="68"/>
      <c r="H93" s="68"/>
      <c r="I93" s="68"/>
      <c r="J93" s="68"/>
    </row>
    <row r="94" spans="1:10" x14ac:dyDescent="0.2">
      <c r="A94" s="26">
        <f t="shared" ca="1" si="1"/>
        <v>85</v>
      </c>
      <c r="B94" s="12"/>
      <c r="C94" s="68"/>
      <c r="D94" s="68"/>
      <c r="E94" s="68"/>
      <c r="F94" s="68"/>
      <c r="G94" s="68"/>
      <c r="H94" s="68"/>
      <c r="I94" s="68"/>
      <c r="J94" s="68"/>
    </row>
    <row r="95" spans="1:10" x14ac:dyDescent="0.2">
      <c r="A95" s="26">
        <f t="shared" ca="1" si="1"/>
        <v>86</v>
      </c>
      <c r="B95" s="12"/>
      <c r="C95" s="68"/>
      <c r="D95" s="68"/>
      <c r="E95" s="68"/>
      <c r="F95" s="68"/>
      <c r="G95" s="68"/>
      <c r="H95" s="68"/>
      <c r="I95" s="68"/>
      <c r="J95" s="68"/>
    </row>
    <row r="96" spans="1:10" x14ac:dyDescent="0.2">
      <c r="A96" s="26">
        <f t="shared" ca="1" si="1"/>
        <v>87</v>
      </c>
      <c r="B96" s="12"/>
      <c r="C96" s="68"/>
      <c r="D96" s="68"/>
      <c r="E96" s="68"/>
      <c r="F96" s="68"/>
      <c r="G96" s="68"/>
      <c r="H96" s="68"/>
      <c r="I96" s="68"/>
      <c r="J96" s="68"/>
    </row>
    <row r="97" spans="1:10" x14ac:dyDescent="0.2">
      <c r="A97" s="26">
        <f t="shared" ca="1" si="1"/>
        <v>88</v>
      </c>
      <c r="B97" s="12"/>
      <c r="C97" s="68"/>
      <c r="D97" s="68"/>
      <c r="E97" s="68"/>
      <c r="F97" s="68"/>
      <c r="G97" s="68"/>
      <c r="H97" s="68"/>
      <c r="I97" s="68"/>
      <c r="J97" s="68"/>
    </row>
    <row r="98" spans="1:10" x14ac:dyDescent="0.2">
      <c r="A98" s="26">
        <f t="shared" ca="1" si="1"/>
        <v>89</v>
      </c>
      <c r="B98" s="12"/>
      <c r="C98" s="68"/>
      <c r="D98" s="68"/>
      <c r="E98" s="68"/>
      <c r="F98" s="68"/>
      <c r="G98" s="68"/>
      <c r="H98" s="68"/>
      <c r="I98" s="68"/>
      <c r="J98" s="68"/>
    </row>
    <row r="99" spans="1:10" x14ac:dyDescent="0.2">
      <c r="A99" s="26">
        <f t="shared" ca="1" si="1"/>
        <v>90</v>
      </c>
      <c r="B99" s="12"/>
      <c r="C99" s="68"/>
      <c r="D99" s="68"/>
      <c r="E99" s="68"/>
      <c r="F99" s="68"/>
      <c r="G99" s="68"/>
      <c r="H99" s="68"/>
      <c r="I99" s="68"/>
      <c r="J99" s="68"/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L37"/>
  <sheetViews>
    <sheetView showGridLines="0" tabSelected="1" topLeftCell="A22" workbookViewId="0">
      <selection activeCell="A10" sqref="A10"/>
    </sheetView>
  </sheetViews>
  <sheetFormatPr defaultRowHeight="12.75" x14ac:dyDescent="0.2"/>
  <cols>
    <col min="1" max="3" width="9.7109375" customWidth="1"/>
    <col min="4" max="4" width="7.7109375" customWidth="1"/>
  </cols>
  <sheetData>
    <row r="1" spans="1:12" ht="23.25" x14ac:dyDescent="0.2">
      <c r="A1" s="6" t="s">
        <v>74</v>
      </c>
      <c r="L1" s="29"/>
    </row>
    <row r="2" spans="1:12" x14ac:dyDescent="0.2">
      <c r="A2" s="15"/>
      <c r="L2" s="30"/>
    </row>
    <row r="3" spans="1:12" x14ac:dyDescent="0.2">
      <c r="A3" s="15"/>
      <c r="L3" s="52"/>
    </row>
    <row r="4" spans="1:12" x14ac:dyDescent="0.2">
      <c r="A4" s="15"/>
    </row>
    <row r="5" spans="1:12" x14ac:dyDescent="0.2">
      <c r="A5" s="15"/>
    </row>
    <row r="6" spans="1:12" x14ac:dyDescent="0.2">
      <c r="A6" s="15"/>
    </row>
    <row r="8" spans="1:12" ht="15" x14ac:dyDescent="0.25">
      <c r="A8" s="35" t="s">
        <v>82</v>
      </c>
    </row>
    <row r="9" spans="1:12" x14ac:dyDescent="0.2">
      <c r="A9" s="36" t="s">
        <v>80</v>
      </c>
      <c r="B9" s="37" t="s">
        <v>81</v>
      </c>
      <c r="C9" s="113" t="s">
        <v>79</v>
      </c>
      <c r="D9" s="113"/>
    </row>
    <row r="10" spans="1:12" x14ac:dyDescent="0.2">
      <c r="A10" s="33">
        <v>0</v>
      </c>
      <c r="B10" s="34" t="s">
        <v>14</v>
      </c>
      <c r="C10" s="14">
        <f ca="1">COUNTIF('Evaluation final'!$S$11:$S$41,"&gt;="&amp;A10)-COUNTIF('Evaluation final'!$S$11:$S$41,"&gt;="&amp;OFFSET(A10,1,0,1,1))</f>
        <v>1</v>
      </c>
      <c r="D10" s="43">
        <f ca="1">C10/$C$23</f>
        <v>0.25</v>
      </c>
    </row>
    <row r="11" spans="1:12" x14ac:dyDescent="0.2">
      <c r="A11" s="54">
        <v>0.6</v>
      </c>
      <c r="B11" s="51" t="s">
        <v>13</v>
      </c>
      <c r="C11" s="14">
        <f ca="1">COUNTIF('Evaluation final'!$S$11:$S$41,"&gt;="&amp;A11)-COUNTIF('Evaluation final'!$S$11:$S$41,"&gt;="&amp;OFFSET(A11,1,0,1,1))</f>
        <v>0</v>
      </c>
      <c r="D11" s="43">
        <f t="shared" ref="D11:D22" ca="1" si="0">C11/$C$23</f>
        <v>0</v>
      </c>
    </row>
    <row r="12" spans="1:12" x14ac:dyDescent="0.2">
      <c r="A12" s="50">
        <f>3*(A14-A11)/10+A11</f>
        <v>0.63</v>
      </c>
      <c r="B12" s="51" t="s">
        <v>12</v>
      </c>
      <c r="C12" s="14">
        <f ca="1">COUNTIF('Evaluation final'!$S$11:$S$41,"&gt;="&amp;A12)-COUNTIF('Evaluation final'!$S$11:$S$41,"&gt;="&amp;OFFSET(A12,1,0,1,1))</f>
        <v>0</v>
      </c>
      <c r="D12" s="43">
        <f ca="1">C12/$C$23</f>
        <v>0</v>
      </c>
    </row>
    <row r="13" spans="1:12" x14ac:dyDescent="0.2">
      <c r="A13" s="50">
        <f>6*(A14-A11)/10+A11</f>
        <v>0.65999999999999992</v>
      </c>
      <c r="B13" s="51" t="s">
        <v>11</v>
      </c>
      <c r="C13" s="14">
        <f ca="1">COUNTIF('Evaluation final'!$S$11:$S$41,"&gt;="&amp;A13)-COUNTIF('Evaluation final'!$S$11:$S$41,"&gt;="&amp;OFFSET(A13,1,0,1,1))</f>
        <v>0</v>
      </c>
      <c r="D13" s="43">
        <f ca="1">C13/$C$23</f>
        <v>0</v>
      </c>
    </row>
    <row r="14" spans="1:12" x14ac:dyDescent="0.2">
      <c r="A14" s="54">
        <v>0.7</v>
      </c>
      <c r="B14" s="51" t="s">
        <v>10</v>
      </c>
      <c r="C14" s="14">
        <f ca="1">COUNTIF('Evaluation final'!$S$11:$S$41,"&gt;="&amp;A14)-COUNTIF('Evaluation final'!$S$11:$S$41,"&gt;="&amp;OFFSET(A14,1,0,1,1))</f>
        <v>0</v>
      </c>
      <c r="D14" s="43">
        <f t="shared" ca="1" si="0"/>
        <v>0</v>
      </c>
    </row>
    <row r="15" spans="1:12" x14ac:dyDescent="0.2">
      <c r="A15" s="50">
        <f>3*(A17-A14)/10+A14</f>
        <v>0.73</v>
      </c>
      <c r="B15" s="51" t="s">
        <v>9</v>
      </c>
      <c r="C15" s="14">
        <f ca="1">COUNTIF('Evaluation final'!$S$11:$S$41,"&gt;="&amp;A15)-COUNTIF('Evaluation final'!$S$11:$S$41,"&gt;="&amp;OFFSET(A15,1,0,1,1))</f>
        <v>0</v>
      </c>
      <c r="D15" s="43">
        <f t="shared" ca="1" si="0"/>
        <v>0</v>
      </c>
      <c r="G15" s="62" t="s">
        <v>17</v>
      </c>
    </row>
    <row r="16" spans="1:12" x14ac:dyDescent="0.2">
      <c r="A16" s="50">
        <f>6*(A17-A14)/10+A14</f>
        <v>0.76</v>
      </c>
      <c r="B16" s="51" t="s">
        <v>8</v>
      </c>
      <c r="C16" s="14">
        <f ca="1">COUNTIF('Evaluation final'!$S$11:$S$41,"&gt;="&amp;A16)-COUNTIF('Evaluation final'!$S$11:$S$41,"&gt;="&amp;OFFSET(A16,1,0,1,1))</f>
        <v>0</v>
      </c>
      <c r="D16" s="43">
        <f t="shared" ca="1" si="0"/>
        <v>0</v>
      </c>
    </row>
    <row r="17" spans="1:4" x14ac:dyDescent="0.2">
      <c r="A17" s="54">
        <v>0.8</v>
      </c>
      <c r="B17" s="51" t="s">
        <v>7</v>
      </c>
      <c r="C17" s="14">
        <f ca="1">COUNTIF('Evaluation final'!$S$11:$S$41,"&gt;="&amp;A17)-COUNTIF('Evaluation final'!$S$11:$S$41,"&gt;="&amp;OFFSET(A17,1,0,1,1))</f>
        <v>1</v>
      </c>
      <c r="D17" s="43">
        <f t="shared" ca="1" si="0"/>
        <v>0.25</v>
      </c>
    </row>
    <row r="18" spans="1:4" x14ac:dyDescent="0.2">
      <c r="A18" s="50">
        <f>3*(A20-A17)/10+A17</f>
        <v>0.83000000000000007</v>
      </c>
      <c r="B18" s="51" t="s">
        <v>6</v>
      </c>
      <c r="C18" s="14">
        <f ca="1">COUNTIF('Evaluation final'!$S$11:$S$41,"&gt;="&amp;A18)-COUNTIF('Evaluation final'!$S$11:$S$41,"&gt;="&amp;OFFSET(A18,1,0,1,1))</f>
        <v>0</v>
      </c>
      <c r="D18" s="43">
        <f t="shared" ca="1" si="0"/>
        <v>0</v>
      </c>
    </row>
    <row r="19" spans="1:4" x14ac:dyDescent="0.2">
      <c r="A19" s="50">
        <f>6*(A20-A17)/10+A17</f>
        <v>0.86</v>
      </c>
      <c r="B19" s="51" t="s">
        <v>5</v>
      </c>
      <c r="C19" s="14">
        <f ca="1">COUNTIF('Evaluation final'!$S$11:$S$41,"&gt;="&amp;A19)-COUNTIF('Evaluation final'!$S$11:$S$41,"&gt;="&amp;OFFSET(A19,1,0,1,1))</f>
        <v>0</v>
      </c>
      <c r="D19" s="43">
        <f t="shared" ca="1" si="0"/>
        <v>0</v>
      </c>
    </row>
    <row r="20" spans="1:4" x14ac:dyDescent="0.2">
      <c r="A20" s="54">
        <v>0.9</v>
      </c>
      <c r="B20" s="51" t="s">
        <v>4</v>
      </c>
      <c r="C20" s="14">
        <f ca="1">COUNTIF('Evaluation final'!$S$11:$S$41,"&gt;="&amp;A20)-COUNTIF('Evaluation final'!$S$11:$S$41,"&gt;="&amp;OFFSET(A20,1,0,1,1))</f>
        <v>1</v>
      </c>
      <c r="D20" s="43">
        <f t="shared" ca="1" si="0"/>
        <v>0.25</v>
      </c>
    </row>
    <row r="21" spans="1:4" x14ac:dyDescent="0.2">
      <c r="A21" s="50">
        <f>3*(1-A20)/10+A20</f>
        <v>0.93</v>
      </c>
      <c r="B21" s="34" t="s">
        <v>3</v>
      </c>
      <c r="C21" s="14">
        <f ca="1">COUNTIF('Evaluation final'!$S$11:$S$41,"&gt;="&amp;A21)-COUNTIF('Evaluation final'!$S$11:$S$41,"&gt;="&amp;OFFSET(A21,1,0,1,1))</f>
        <v>0</v>
      </c>
      <c r="D21" s="43">
        <f t="shared" ca="1" si="0"/>
        <v>0</v>
      </c>
    </row>
    <row r="22" spans="1:4" x14ac:dyDescent="0.2">
      <c r="A22" s="50">
        <f>6*(1-A20)/10+A20</f>
        <v>0.96</v>
      </c>
      <c r="B22" s="34" t="s">
        <v>2</v>
      </c>
      <c r="C22" s="45">
        <f ca="1">COUNTIF('Evaluation final'!$S$11:$S$41,"&gt;="&amp;A22)-COUNTIF('Evaluation final'!$S$11:$S$41,"&gt;="&amp;OFFSET(A22,1,0,1,1))</f>
        <v>1</v>
      </c>
      <c r="D22" s="58">
        <f t="shared" ca="1" si="0"/>
        <v>0.25</v>
      </c>
    </row>
    <row r="23" spans="1:4" x14ac:dyDescent="0.2">
      <c r="A23" s="44"/>
      <c r="B23" s="111" t="s">
        <v>76</v>
      </c>
      <c r="C23" s="14">
        <f ca="1">SUM(C10:C22)</f>
        <v>4</v>
      </c>
      <c r="D23" s="43"/>
    </row>
    <row r="25" spans="1:4" ht="15" x14ac:dyDescent="0.25">
      <c r="A25" s="35" t="s">
        <v>75</v>
      </c>
    </row>
    <row r="26" spans="1:4" x14ac:dyDescent="0.2">
      <c r="A26" s="24">
        <f ca="1">'Evaluation final'!S42</f>
        <v>0.77843730716714588</v>
      </c>
      <c r="B26" s="25" t="str">
        <f ca="1">INDEX(B10:B22,MATCH(A26,A10:A22,1))</f>
        <v>C+</v>
      </c>
    </row>
    <row r="27" spans="1:4" ht="14.25" x14ac:dyDescent="0.2">
      <c r="A27" s="40"/>
    </row>
    <row r="28" spans="1:4" ht="14.25" x14ac:dyDescent="0.2">
      <c r="A28" s="41" t="s">
        <v>71</v>
      </c>
      <c r="B28" s="24">
        <f ca="1">'Evaluation final'!S44</f>
        <v>0.86456692202659946</v>
      </c>
      <c r="C28" s="53"/>
    </row>
    <row r="29" spans="1:4" ht="14.25" x14ac:dyDescent="0.2">
      <c r="A29" s="41"/>
      <c r="B29" s="24"/>
    </row>
    <row r="31" spans="1:4" ht="15" x14ac:dyDescent="0.25">
      <c r="A31" s="35" t="s">
        <v>18</v>
      </c>
      <c r="C31" s="62" t="s">
        <v>17</v>
      </c>
    </row>
    <row r="32" spans="1:4" x14ac:dyDescent="0.2">
      <c r="A32" s="49" t="s">
        <v>20</v>
      </c>
      <c r="B32" s="48" t="s">
        <v>19</v>
      </c>
    </row>
    <row r="33" spans="1:5" x14ac:dyDescent="0.2">
      <c r="A33" s="33">
        <v>0.9</v>
      </c>
      <c r="B33" s="46">
        <f ca="1">PERCENTILE('Evaluation final'!$S$11:$S$41,A33)</f>
        <v>0.95000000000000007</v>
      </c>
      <c r="C33" s="112" t="s">
        <v>77</v>
      </c>
      <c r="D33" s="47"/>
      <c r="E33" s="47"/>
    </row>
    <row r="34" spans="1:5" x14ac:dyDescent="0.2">
      <c r="A34" s="33">
        <v>0.65</v>
      </c>
      <c r="B34" s="46">
        <f ca="1">PERCENTILE('Evaluation final'!$S$11:$S$41,A34)</f>
        <v>0.91722592297189076</v>
      </c>
      <c r="D34" s="47"/>
      <c r="E34" s="47"/>
    </row>
    <row r="35" spans="1:5" x14ac:dyDescent="0.2">
      <c r="A35" s="33">
        <v>0.35</v>
      </c>
      <c r="B35" s="46">
        <f ca="1">PERCENTILE('Evaluation final'!$S$11:$S$41,A35)</f>
        <v>0.81190792108130816</v>
      </c>
      <c r="D35" s="47"/>
      <c r="E35" s="47"/>
    </row>
    <row r="36" spans="1:5" x14ac:dyDescent="0.2">
      <c r="A36" s="33">
        <v>0.1</v>
      </c>
      <c r="B36" s="46">
        <f ca="1">PERCENTILE('Evaluation final'!$S$11:$S$41,A36)</f>
        <v>0.53797092244672895</v>
      </c>
    </row>
    <row r="37" spans="1:5" x14ac:dyDescent="0.2">
      <c r="A37" s="55"/>
    </row>
  </sheetData>
  <mergeCells count="1">
    <mergeCell ref="C9:D9"/>
  </mergeCells>
  <phoneticPr fontId="7" type="noConversion"/>
  <pageMargins left="0.75" right="0.5" top="0.75" bottom="0.5" header="0.5" footer="0.25"/>
  <pageSetup orientation="portrait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Conceptio&amp;realisation</vt:lpstr>
      <vt:lpstr>DemarchProjet</vt:lpstr>
      <vt:lpstr>Rapport</vt:lpstr>
      <vt:lpstr>Soutenace</vt:lpstr>
      <vt:lpstr>Evaluation final</vt:lpstr>
      <vt:lpstr>Binomes</vt:lpstr>
      <vt:lpstr>Questions</vt:lpstr>
      <vt:lpstr>Notes</vt:lpstr>
      <vt:lpstr>displayID</vt:lpstr>
      <vt:lpstr>Etude_existant__bibliographie___analyse</vt:lpstr>
      <vt:lpstr>Binomes!Print_Area</vt:lpstr>
      <vt:lpstr>'Evaluation final'!Print_Area</vt:lpstr>
      <vt:lpstr>Notes!Print_Area</vt:lpstr>
      <vt:lpstr>'Evaluation final'!Print_Titles</vt:lpstr>
      <vt:lpstr>Question</vt:lpstr>
      <vt:lpstr>QuestionsEvaluation</vt:lpstr>
    </vt:vector>
  </TitlesOfParts>
  <Company>Vertex42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Gradebook Template - Point System</dc:title>
  <dc:creator>dk_nasri@esi.dz</dc:creator>
  <dc:description>(c) 2009 Vertex42 LLC. All Rights Reserved.</dc:description>
  <cp:lastModifiedBy>karimNasri</cp:lastModifiedBy>
  <cp:lastPrinted>2009-11-18T23:38:36Z</cp:lastPrinted>
  <dcterms:created xsi:type="dcterms:W3CDTF">2008-04-12T17:21:19Z</dcterms:created>
  <dcterms:modified xsi:type="dcterms:W3CDTF">2018-02-01T20:56:14Z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pyright">
    <vt:lpwstr>2009 Vertex42 LLC</vt:lpwstr>
  </property>
  <property fmtid="{D5CDD505-2E9C-101B-9397-08002B2CF9AE}" pid="3" name="Version">
    <vt:lpwstr>1.0.0</vt:lpwstr>
  </property>
  <property fmtid="{D5CDD505-2E9C-101B-9397-08002B2CF9AE}" pid="4" name="WorkbookGuid">
    <vt:lpwstr>94c8ae67-9cb6-4223-9435-f70d4cbe98b1</vt:lpwstr>
  </property>
</Properties>
</file>